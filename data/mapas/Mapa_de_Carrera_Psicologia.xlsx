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54" customWidth="1" min="1" max="1"/>
    <col width="16" customWidth="1" min="2" max="2"/>
    <col width="16" customWidth="1" min="3" max="3"/>
    <col width="22"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PSICOLOGÍA</t>
        </is>
      </c>
      <c r="I1" s="2" t="inlineStr">
        <is>
          <t>CONTROL DE TRAYECTORIA</t>
        </is>
      </c>
    </row>
    <row r="2" ht="22" customHeight="1">
      <c r="A2" s="3" t="inlineStr">
        <is>
          <t>La Caravana + Estudiantes Independientes | Altillo JVG - ISP Joaquín V. González</t>
        </is>
      </c>
      <c r="I2" s="4" t="inlineStr">
        <is>
          <t>Total de Materias del Plan</t>
        </is>
      </c>
      <c r="J2" s="5" t="n">
        <v>44</v>
      </c>
    </row>
    <row r="3" ht="22" customHeight="1">
      <c r="I3" s="4" t="inlineStr">
        <is>
          <t>Materias con Cursada Regular</t>
        </is>
      </c>
      <c r="J3" s="5">
        <f>COUNTIF(B6:B54,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COUNTIF(C6:C54, "SI")</f>
        <v/>
      </c>
    </row>
    <row r="5" ht="22" customHeight="1">
      <c r="A5" s="7" t="inlineStr">
        <is>
          <t>📌 1° AÑO</t>
        </is>
      </c>
      <c r="I5" s="4" t="inlineStr">
        <is>
          <t>Finales Adeudados</t>
        </is>
      </c>
      <c r="J5" s="5">
        <f>COUNTIF(F6:F54, "ADEUDA FINAL")</f>
        <v/>
      </c>
    </row>
    <row r="6" ht="22" customHeight="1">
      <c r="A6" s="8" t="inlineStr">
        <is>
          <t>Antropologia Social y Cultural</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COUNTIF(B6:B54, "SI")/44</f>
        <v/>
      </c>
    </row>
    <row r="7" ht="22" customHeight="1">
      <c r="A7" s="8" t="inlineStr">
        <is>
          <t>Biología</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COUNTIF(C6:C54, "SI")/44</f>
        <v/>
      </c>
    </row>
    <row r="8" ht="20" customHeight="1">
      <c r="A8" s="8" t="inlineStr">
        <is>
          <t>Filosofía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Lectura, Escritura y Oralidad I (LEO 1)</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Logica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METODOLOGIA DE LA INV.SOCIAL (1° Cuatr.)</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Pedagogía</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Proc. Colectivos y Problemas Sociales</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Psicología GENERAL</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Trabajo de Campo I</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Aprox. al Proceso Salud-enfermedad(1° Cuatr.)</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Bases Neurofisiológicas</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Didáctica GENERAL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Epistemologia Gral y Especial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ESTADO, SOCIEDAD Y Derechos Humanos</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NUEVAS TECNOLOGIAS (Cuatrimestral)</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Psicología DE LOS CICLOS VITALES I</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Psicología EDUCACIONAL</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Psicología SOCIAL</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Trabajo de Campo II</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2" customHeight="1">
      <c r="A27" s="7" t="inlineStr">
        <is>
          <t>📌 3° AÑO</t>
        </is>
      </c>
    </row>
    <row r="28" ht="20" customHeight="1">
      <c r="A28" s="8" t="inlineStr">
        <is>
          <t>Adolescencia y Mundo Cont</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Estrategias para la Res. de Conflictos</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HISTORIA DE LA Educación ARGENTINA</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Psicología DE LOS CICLOS VITALES II</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Tecnicas de Exploracion Psicologica</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Teoría DE LAS ORGANIZ. Y Análisis INST</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Teoría PSICOANALITICA</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Teoría PSICOANALITICA POST FREUDIANA</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Teoría y Práctica de la Comunic. (1° Cuatr.)</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2" customHeight="1">
      <c r="A37" s="7" t="inlineStr">
        <is>
          <t>📌 4° AÑO</t>
        </is>
      </c>
    </row>
    <row r="38" ht="20" customHeight="1">
      <c r="A38" s="8" t="inlineStr">
        <is>
          <t>Didáctica DE LA ENS. DE LA Psicología</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HISTORIA DE LA Psicología</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LENGUA EXTRANJERA (Cuatrimestral)</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PRACT. DE ENS. PSICOL. en Nivel Medio Y SUPERIOR</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PRACT.DE LA INV. PSICOLOGICA (1º CUATR.)</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Psicología DEL ARTE (1° Cuatrim)</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Psicopatologia</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0" customHeight="1">
      <c r="A45" s="8" t="inlineStr">
        <is>
          <t>Psicopedagogia</t>
        </is>
      </c>
      <c r="B45" s="9" t="inlineStr">
        <is>
          <t>NO</t>
        </is>
      </c>
      <c r="C45" s="9" t="inlineStr">
        <is>
          <t>NO</t>
        </is>
      </c>
      <c r="D45" s="10" t="inlineStr">
        <is>
          <t>4° Año</t>
        </is>
      </c>
      <c r="E45" s="10">
        <f>IF(B45="SI", "REGULAR", "PENDIENTE")</f>
        <v/>
      </c>
      <c r="F45" s="10">
        <f>IF(C45="SI", "APROBADO", IF(B45="SI", "ADEUDA FINAL", "ADEUDA"))</f>
        <v/>
      </c>
      <c r="G45" s="11">
        <f>IF(C45="SI", "🟢 Aprobada", IF(B45="SI", "🟡 Regular", "🟣 Pendiente"))</f>
        <v/>
      </c>
    </row>
    <row r="46" ht="22" customHeight="1">
      <c r="A46" s="7" t="inlineStr">
        <is>
          <t>📌 5° AÑO (NIVEL SUPERIOR / TRAMO SUPERIOR)</t>
        </is>
      </c>
    </row>
    <row r="47" ht="20" customHeight="1">
      <c r="A47" s="8" t="inlineStr">
        <is>
          <t>Pedagogía DE LA CONV. ESCOLAR</t>
        </is>
      </c>
      <c r="B47" s="9" t="inlineStr">
        <is>
          <t>NO</t>
        </is>
      </c>
      <c r="C47" s="9" t="inlineStr">
        <is>
          <t>NO</t>
        </is>
      </c>
      <c r="D47" s="10" t="inlineStr">
        <is>
          <t>5° Año (Nivel Superior / Tramo Superior)</t>
        </is>
      </c>
      <c r="E47" s="10">
        <f>IF(B47="SI", "REGULAR", "PENDIENTE")</f>
        <v/>
      </c>
      <c r="F47" s="10">
        <f>IF(C47="SI", "APROBADO", IF(B47="SI", "ADEUDA FINAL", "ADEUDA"))</f>
        <v/>
      </c>
      <c r="G47" s="11">
        <f>IF(C47="SI", "🟢 Aprobada", IF(B47="SI", "🟡 Regular", "🟣 Pendiente"))</f>
        <v/>
      </c>
    </row>
    <row r="48" ht="20" customHeight="1">
      <c r="A48" s="8" t="inlineStr">
        <is>
          <t>PRACT. DE ENS. PSICOL. en Nivel Medio y Residencia</t>
        </is>
      </c>
      <c r="B48" s="9" t="inlineStr">
        <is>
          <t>NO</t>
        </is>
      </c>
      <c r="C48" s="9" t="inlineStr">
        <is>
          <t>NO</t>
        </is>
      </c>
      <c r="D48" s="10" t="inlineStr">
        <is>
          <t>5° Año (Nivel Superior / Tramo Superior)</t>
        </is>
      </c>
      <c r="E48" s="10">
        <f>IF(B48="SI", "REGULAR", "PENDIENTE")</f>
        <v/>
      </c>
      <c r="F48" s="10">
        <f>IF(C48="SI", "APROBADO", IF(B48="SI", "ADEUDA FINAL", "ADEUDA"))</f>
        <v/>
      </c>
      <c r="G48" s="11">
        <f>IF(C48="SI", "🟢 Aprobada", IF(B48="SI", "🟡 Regular", "🟣 Pendiente"))</f>
        <v/>
      </c>
    </row>
    <row r="49" ht="20" customHeight="1">
      <c r="A49" s="8" t="inlineStr">
        <is>
          <t>Psicología APLICADA AL DEPORTE</t>
        </is>
      </c>
      <c r="B49" s="9" t="inlineStr">
        <is>
          <t>NO</t>
        </is>
      </c>
      <c r="C49" s="9" t="inlineStr">
        <is>
          <t>NO</t>
        </is>
      </c>
      <c r="D49" s="10" t="inlineStr">
        <is>
          <t>5° Año (Nivel Superior / Tramo Superior)</t>
        </is>
      </c>
      <c r="E49" s="10">
        <f>IF(B49="SI", "REGULAR", "PENDIENTE")</f>
        <v/>
      </c>
      <c r="F49" s="10">
        <f>IF(C49="SI", "APROBADO", IF(B49="SI", "ADEUDA FINAL", "ADEUDA"))</f>
        <v/>
      </c>
      <c r="G49" s="11">
        <f>IF(C49="SI", "🟢 Aprobada", IF(B49="SI", "🟡 Regular", "🟣 Pendiente"))</f>
        <v/>
      </c>
    </row>
    <row r="50" ht="22" customHeight="1">
      <c r="A50" s="7" t="inlineStr">
        <is>
          <t>📌 6° AÑO (NIVEL SUPERIOR / TRAMO SUPERIOR)</t>
        </is>
      </c>
    </row>
    <row r="51" ht="20" customHeight="1">
      <c r="A51" s="8" t="inlineStr">
        <is>
          <t>Seminario de Especialización Superior II</t>
        </is>
      </c>
      <c r="B51" s="9" t="inlineStr">
        <is>
          <t>NO</t>
        </is>
      </c>
      <c r="C51" s="9" t="inlineStr">
        <is>
          <t>NO</t>
        </is>
      </c>
      <c r="D51" s="10" t="inlineStr">
        <is>
          <t>6° Año (Nivel Superior / Tramo Superior)</t>
        </is>
      </c>
      <c r="E51" s="10">
        <f>IF(B51="SI", "REGULAR", "PENDIENTE")</f>
        <v/>
      </c>
      <c r="F51" s="10">
        <f>IF(C51="SI", "APROBADO", IF(B51="SI", "ADEUDA FINAL", "ADEUDA"))</f>
        <v/>
      </c>
      <c r="G51" s="11">
        <f>IF(C51="SI", "🟢 Aprobada", IF(B51="SI", "🟡 Regular", "🟣 Pendiente"))</f>
        <v/>
      </c>
    </row>
    <row r="52" ht="20" customHeight="1">
      <c r="A52" s="8" t="inlineStr">
        <is>
          <t>Tesis / Trabajo Final de Licenciatura</t>
        </is>
      </c>
      <c r="B52" s="9" t="inlineStr">
        <is>
          <t>NO</t>
        </is>
      </c>
      <c r="C52" s="9" t="inlineStr">
        <is>
          <t>NO</t>
        </is>
      </c>
      <c r="D52" s="10" t="inlineStr">
        <is>
          <t>6° Año (Nivel Superior / Tramo Superior)</t>
        </is>
      </c>
      <c r="E52" s="10">
        <f>IF(B52="SI", "REGULAR", "PENDIENTE")</f>
        <v/>
      </c>
      <c r="F52" s="10">
        <f>IF(C52="SI", "APROBADO", IF(B52="SI", "ADEUDA FINAL", "ADEUDA"))</f>
        <v/>
      </c>
      <c r="G52" s="11">
        <f>IF(C52="SI", "🟢 Aprobada", IF(B52="SI", "🟡 Regular", "🟣 Pendiente"))</f>
        <v/>
      </c>
    </row>
    <row r="53" ht="20" customHeight="1">
      <c r="A53" s="8" t="inlineStr">
        <is>
          <t>Práctica de Nivel Superior II</t>
        </is>
      </c>
      <c r="B53" s="9" t="inlineStr">
        <is>
          <t>NO</t>
        </is>
      </c>
      <c r="C53" s="9" t="inlineStr">
        <is>
          <t>NO</t>
        </is>
      </c>
      <c r="D53" s="10" t="inlineStr">
        <is>
          <t>6° Año (Nivel Superior / Tramo Superior)</t>
        </is>
      </c>
      <c r="E53" s="10">
        <f>IF(B53="SI", "REGULAR", "PENDIENTE")</f>
        <v/>
      </c>
      <c r="F53" s="10">
        <f>IF(C53="SI", "APROBADO", IF(B53="SI", "ADEUDA FINAL", "ADEUDA"))</f>
        <v/>
      </c>
      <c r="G53" s="11">
        <f>IF(C53="SI", "🟢 Aprobada", IF(B53="SI", "🟡 Regular", "🟣 Pendiente"))</f>
        <v/>
      </c>
    </row>
    <row r="54" ht="20" customHeight="1">
      <c r="A54" s="8" t="inlineStr">
        <is>
          <t>Acreditación de Residencia Superior</t>
        </is>
      </c>
      <c r="B54" s="9" t="inlineStr">
        <is>
          <t>NO</t>
        </is>
      </c>
      <c r="C54" s="9" t="inlineStr">
        <is>
          <t>NO</t>
        </is>
      </c>
      <c r="D54" s="10" t="inlineStr">
        <is>
          <t>6° Año (Nivel Superior / Tramo Superior)</t>
        </is>
      </c>
      <c r="E54" s="10">
        <f>IF(B54="SI", "REGULAR", "PENDIENTE")</f>
        <v/>
      </c>
      <c r="F54" s="10">
        <f>IF(C54="SI", "APROBADO", IF(B54="SI", "ADEUDA FINAL", "ADEUDA"))</f>
        <v/>
      </c>
      <c r="G54" s="11">
        <f>IF(C54="SI", "🟢 Aprobada", IF(B54="SI", "🟡 Regular", "🟣 Pendiente"))</f>
        <v/>
      </c>
    </row>
  </sheetData>
  <mergeCells count="16">
    <mergeCell ref="I12:J12"/>
    <mergeCell ref="A1:G1"/>
    <mergeCell ref="A27:G27"/>
    <mergeCell ref="I15:J15"/>
    <mergeCell ref="I10:J10"/>
    <mergeCell ref="A46:G46"/>
    <mergeCell ref="A50:G50"/>
    <mergeCell ref="I1:K1"/>
    <mergeCell ref="I11:J11"/>
    <mergeCell ref="A16:G16"/>
    <mergeCell ref="A2:G2"/>
    <mergeCell ref="I13:J13"/>
    <mergeCell ref="I14:J14"/>
    <mergeCell ref="I9:J9"/>
    <mergeCell ref="A5:G5"/>
    <mergeCell ref="A37:G37"/>
  </mergeCells>
  <dataValidations count="1">
    <dataValidation sqref="B6 B7 B8 B9 B10 B11 B12 B13 B14 B15 B17 B18 B19 B20 B21 B22 B23 B24 B25 B26 B28 B29 B30 B31 B32 B33 B34 B35 B36 B38 B39 B40 B41 B42 B43 B44 B45 B47 B48 B49 B51 B52 B53 B54 C6 C7 C8 C9 C10 C11 C12 C13 C14 C15 C17 C18 C19 C20 C21 C22 C23 C24 C25 C26 C28 C29 C30 C31 C32 C33 C34 C35 C36 C38 C39 C40 C41 C42 C43 C44 C45 C47 C48 C49 C51 C52 C53 C54"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2026-08-31T00:38:51Z</dcterms:created>
  <dcterms:modified xmlns:dcterms="http://purl.org/dc/terms/" xmlns:xsi="http://www.w3.org/2001/XMLSchema-instance" xsi:type="dcterms:W3CDTF">2026-08-31T00:38:51Z</dcterms:modified>
</cp:coreProperties>
</file>