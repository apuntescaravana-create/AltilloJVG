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PSICOLOGÍA</t>
        </is>
      </c>
      <c r="I1" s="2" t="inlineStr">
        <is>
          <t>CONTROL DE TRAYECTORIA</t>
        </is>
      </c>
    </row>
    <row r="2" ht="22" customHeight="1">
      <c r="A2" s="3" t="inlineStr">
        <is>
          <t>La Caravana + Estudiantes Independientes | Altillo JVG - ISP Joaquín V. González</t>
        </is>
      </c>
      <c r="I2" s="4" t="inlineStr">
        <is>
          <t>Total de Materias del Plan</t>
        </is>
      </c>
      <c r="J2" s="5" t="n">
        <v>54</v>
      </c>
    </row>
    <row r="3" ht="22" customHeight="1">
      <c r="I3" s="4" t="inlineStr">
        <is>
          <t>Materias con Cursada Regular</t>
        </is>
      </c>
      <c r="J3" s="5">
        <f>COUNTIF(B6:B64,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COUNTIF(C6:C64, "SI")</f>
        <v/>
      </c>
    </row>
    <row r="5" ht="22" customHeight="1">
      <c r="A5" s="7" t="inlineStr">
        <is>
          <t>📌 1° AÑO</t>
        </is>
      </c>
      <c r="I5" s="4" t="inlineStr">
        <is>
          <t>Finales Adeudados</t>
        </is>
      </c>
      <c r="J5" s="5">
        <f>COUNTIF(F6:F64, "ADEUDA FINAL")</f>
        <v/>
      </c>
    </row>
    <row r="6" ht="22" customHeight="1">
      <c r="A6" s="8" t="inlineStr">
        <is>
          <t>Pedagogía</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COUNTIF(B6:B64, "SI")/54</f>
        <v/>
      </c>
    </row>
    <row r="7" ht="22" customHeight="1">
      <c r="A7" s="8" t="inlineStr">
        <is>
          <t>Antropología social y cultural</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COUNTIF(C6:C64, "SI")/54</f>
        <v/>
      </c>
    </row>
    <row r="8" ht="20" customHeight="1">
      <c r="A8" s="8" t="inlineStr">
        <is>
          <t>Psicología General</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Lectura, Escritura y Oralidad I (LEO 1)</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Filosofía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Procesos colectivos y problemas sociales</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Metedo de la investigación social</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Lógica</t>
        </is>
      </c>
      <c r="B13" s="9" t="inlineStr">
        <is>
          <t>NO</t>
        </is>
      </c>
      <c r="C13" s="9" t="inlineStr">
        <is>
          <t>NO</t>
        </is>
      </c>
      <c r="D13" s="10" t="inlineStr">
        <is>
          <t>1°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8" t="inlineStr">
        <is>
          <t>Biología</t>
        </is>
      </c>
      <c r="B14" s="9" t="inlineStr">
        <is>
          <t>NO</t>
        </is>
      </c>
      <c r="C14" s="9" t="inlineStr">
        <is>
          <t>NO</t>
        </is>
      </c>
      <c r="D14" s="10" t="inlineStr">
        <is>
          <t>1° Año</t>
        </is>
      </c>
      <c r="E14" s="10">
        <f>IF(B14="SI", "REGULAR", "PENDIENTE")</f>
        <v/>
      </c>
      <c r="F14" s="10">
        <f>IF(C14="SI", "APROBADO", IF(B14="SI", "ADEUDA FINAL", "ADEUDA"))</f>
        <v/>
      </c>
      <c r="G14" s="11">
        <f>IF(C14="SI", "🟢 Aprobada", IF(B14="SI", "🟡 Regular", "🟣 Pendiente"))</f>
        <v/>
      </c>
      <c r="I14" s="14" t="inlineStr">
        <is>
          <t>5. El panel lateral calcula tu avance y porcentaje de carrera en vivo.</t>
        </is>
      </c>
    </row>
    <row r="15" ht="20" customHeight="1">
      <c r="A15" s="8" t="inlineStr">
        <is>
          <t>Trabajo de Campo I</t>
        </is>
      </c>
      <c r="B15" s="9" t="inlineStr">
        <is>
          <t>NO</t>
        </is>
      </c>
      <c r="C15" s="9" t="inlineStr">
        <is>
          <t>NO</t>
        </is>
      </c>
      <c r="D15" s="10" t="inlineStr">
        <is>
          <t>1°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Teórica de la argumentación</t>
        </is>
      </c>
      <c r="B16" s="9" t="inlineStr">
        <is>
          <t>NO</t>
        </is>
      </c>
      <c r="C16" s="9" t="inlineStr">
        <is>
          <t>NO</t>
        </is>
      </c>
      <c r="D16" s="10" t="inlineStr">
        <is>
          <t>1° Año</t>
        </is>
      </c>
      <c r="E16" s="10">
        <f>IF(B16="SI", "REGULAR", "PENDIENTE")</f>
        <v/>
      </c>
      <c r="F16" s="10">
        <f>IF(C16="SI", "APROBADO", IF(B16="SI", "ADEUDA FINAL", "ADEUDA"))</f>
        <v/>
      </c>
      <c r="G16" s="11">
        <f>IF(C16="SI", "🟢 Aprobada", IF(B16="SI", "🟡 Regular", "🟣 Pendiente"))</f>
        <v/>
      </c>
    </row>
    <row r="17" ht="20" customHeight="1">
      <c r="A17" s="8" t="inlineStr">
        <is>
          <t>Estadística</t>
        </is>
      </c>
      <c r="B17" s="9" t="inlineStr">
        <is>
          <t>NO</t>
        </is>
      </c>
      <c r="C17" s="9" t="inlineStr">
        <is>
          <t>NO</t>
        </is>
      </c>
      <c r="D17" s="10" t="inlineStr">
        <is>
          <t>1° Año</t>
        </is>
      </c>
      <c r="E17" s="10">
        <f>IF(B17="SI", "REGULAR", "PENDIENTE")</f>
        <v/>
      </c>
      <c r="F17" s="10">
        <f>IF(C17="SI", "APROBADO", IF(B17="SI", "ADEUDA FINAL", "ADEUDA"))</f>
        <v/>
      </c>
      <c r="G17" s="11">
        <f>IF(C17="SI", "🟢 Aprobada", IF(B17="SI", "🟡 Regular", "🟣 Pendiente"))</f>
        <v/>
      </c>
    </row>
    <row r="18" ht="20" customHeight="1">
      <c r="A18" s="8" t="inlineStr">
        <is>
          <t>Neurobiología y adaptación</t>
        </is>
      </c>
      <c r="B18" s="9" t="inlineStr">
        <is>
          <t>NO</t>
        </is>
      </c>
      <c r="C18" s="9" t="inlineStr">
        <is>
          <t>NO</t>
        </is>
      </c>
      <c r="D18" s="10" t="inlineStr">
        <is>
          <t>1° Año</t>
        </is>
      </c>
      <c r="E18" s="10">
        <f>IF(B18="SI", "REGULAR", "PENDIENTE")</f>
        <v/>
      </c>
      <c r="F18" s="10">
        <f>IF(C18="SI", "APROBADO", IF(B18="SI", "ADEUDA FINAL", "ADEUDA"))</f>
        <v/>
      </c>
      <c r="G18" s="11">
        <f>IF(C18="SI", "🟢 Aprobada", IF(B18="SI", "🟡 Regular", "🟣 Pendiente"))</f>
        <v/>
      </c>
    </row>
    <row r="19" ht="22" customHeight="1">
      <c r="A19" s="7" t="inlineStr">
        <is>
          <t>📌 2° AÑO</t>
        </is>
      </c>
    </row>
    <row r="20" ht="20" customHeight="1">
      <c r="A20" s="8" t="inlineStr">
        <is>
          <t>Psicología social</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Estadi, sociedad y DDHH</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Nuevas tecnologias</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0" customHeight="1">
      <c r="A23" s="8" t="inlineStr">
        <is>
          <t>Psicología de los ciclos vitales 1</t>
        </is>
      </c>
      <c r="B23" s="9" t="inlineStr">
        <is>
          <t>NO</t>
        </is>
      </c>
      <c r="C23" s="9" t="inlineStr">
        <is>
          <t>NO</t>
        </is>
      </c>
      <c r="D23" s="10" t="inlineStr">
        <is>
          <t>2° Año</t>
        </is>
      </c>
      <c r="E23" s="10">
        <f>IF(B23="SI", "REGULAR", "PENDIENTE")</f>
        <v/>
      </c>
      <c r="F23" s="10">
        <f>IF(C23="SI", "APROBADO", IF(B23="SI", "ADEUDA FINAL", "ADEUDA"))</f>
        <v/>
      </c>
      <c r="G23" s="11">
        <f>IF(C23="SI", "🟢 Aprobada", IF(B23="SI", "🟡 Regular", "🟣 Pendiente"))</f>
        <v/>
      </c>
    </row>
    <row r="24" ht="20" customHeight="1">
      <c r="A24" s="8" t="inlineStr">
        <is>
          <t>Psicologiía educacional</t>
        </is>
      </c>
      <c r="B24" s="9" t="inlineStr">
        <is>
          <t>NO</t>
        </is>
      </c>
      <c r="C24" s="9" t="inlineStr">
        <is>
          <t>NO</t>
        </is>
      </c>
      <c r="D24" s="10" t="inlineStr">
        <is>
          <t>2° Año</t>
        </is>
      </c>
      <c r="E24" s="10">
        <f>IF(B24="SI", "REGULAR", "PENDIENTE")</f>
        <v/>
      </c>
      <c r="F24" s="10">
        <f>IF(C24="SI", "APROBADO", IF(B24="SI", "ADEUDA FINAL", "ADEUDA"))</f>
        <v/>
      </c>
      <c r="G24" s="11">
        <f>IF(C24="SI", "🟢 Aprobada", IF(B24="SI", "🟡 Regular", "🟣 Pendiente"))</f>
        <v/>
      </c>
    </row>
    <row r="25" ht="20" customHeight="1">
      <c r="A25" s="8" t="inlineStr">
        <is>
          <t>Didáctica general</t>
        </is>
      </c>
      <c r="B25" s="9" t="inlineStr">
        <is>
          <t>NO</t>
        </is>
      </c>
      <c r="C25" s="9" t="inlineStr">
        <is>
          <t>NO</t>
        </is>
      </c>
      <c r="D25" s="10" t="inlineStr">
        <is>
          <t>2° Año</t>
        </is>
      </c>
      <c r="E25" s="10">
        <f>IF(B25="SI", "REGULAR", "PENDIENTE")</f>
        <v/>
      </c>
      <c r="F25" s="10">
        <f>IF(C25="SI", "APROBADO", IF(B25="SI", "ADEUDA FINAL", "ADEUDA"))</f>
        <v/>
      </c>
      <c r="G25" s="11">
        <f>IF(C25="SI", "🟢 Aprobada", IF(B25="SI", "🟡 Regular", "🟣 Pendiente"))</f>
        <v/>
      </c>
    </row>
    <row r="26" ht="20" customHeight="1">
      <c r="A26" s="8" t="inlineStr">
        <is>
          <t>Bases neurofisiológicas</t>
        </is>
      </c>
      <c r="B26" s="9" t="inlineStr">
        <is>
          <t>NO</t>
        </is>
      </c>
      <c r="C26" s="9" t="inlineStr">
        <is>
          <t>NO</t>
        </is>
      </c>
      <c r="D26" s="10" t="inlineStr">
        <is>
          <t>2° Año</t>
        </is>
      </c>
      <c r="E26" s="10">
        <f>IF(B26="SI", "REGULAR", "PENDIENTE")</f>
        <v/>
      </c>
      <c r="F26" s="10">
        <f>IF(C26="SI", "APROBADO", IF(B26="SI", "ADEUDA FINAL", "ADEUDA"))</f>
        <v/>
      </c>
      <c r="G26" s="11">
        <f>IF(C26="SI", "🟢 Aprobada", IF(B26="SI", "🟡 Regular", "🟣 Pendiente"))</f>
        <v/>
      </c>
    </row>
    <row r="27" ht="20" customHeight="1">
      <c r="A27" s="8" t="inlineStr">
        <is>
          <t>Epistemología general y especial</t>
        </is>
      </c>
      <c r="B27" s="9" t="inlineStr">
        <is>
          <t>NO</t>
        </is>
      </c>
      <c r="C27" s="9" t="inlineStr">
        <is>
          <t>NO</t>
        </is>
      </c>
      <c r="D27" s="10" t="inlineStr">
        <is>
          <t>2° Año</t>
        </is>
      </c>
      <c r="E27" s="10">
        <f>IF(B27="SI", "REGULAR", "PENDIENTE")</f>
        <v/>
      </c>
      <c r="F27" s="10">
        <f>IF(C27="SI", "APROBADO", IF(B27="SI", "ADEUDA FINAL", "ADEUDA"))</f>
        <v/>
      </c>
      <c r="G27" s="11">
        <f>IF(C27="SI", "🟢 Aprobada", IF(B27="SI", "🟡 Regular", "🟣 Pendiente"))</f>
        <v/>
      </c>
    </row>
    <row r="28" ht="20" customHeight="1">
      <c r="A28" s="8" t="inlineStr">
        <is>
          <t>Lectura, Escritura y Oralidad II (LEO 2)</t>
        </is>
      </c>
      <c r="B28" s="9" t="inlineStr">
        <is>
          <t>NO</t>
        </is>
      </c>
      <c r="C28" s="9" t="inlineStr">
        <is>
          <t>NO</t>
        </is>
      </c>
      <c r="D28" s="10" t="inlineStr">
        <is>
          <t>2° Año</t>
        </is>
      </c>
      <c r="E28" s="10">
        <f>IF(B28="SI", "REGULAR", "PENDIENTE")</f>
        <v/>
      </c>
      <c r="F28" s="10">
        <f>IF(C28="SI", "APROBADO", IF(B28="SI", "ADEUDA FINAL", "ADEUDA"))</f>
        <v/>
      </c>
      <c r="G28" s="11">
        <f>IF(C28="SI", "🟢 Aprobada", IF(B28="SI", "🟡 Regular", "🟣 Pendiente"))</f>
        <v/>
      </c>
    </row>
    <row r="29" ht="20" customHeight="1">
      <c r="A29" s="8" t="inlineStr">
        <is>
          <t>Aproximación al proceso salud y enfermedad</t>
        </is>
      </c>
      <c r="B29" s="9" t="inlineStr">
        <is>
          <t>NO</t>
        </is>
      </c>
      <c r="C29" s="9" t="inlineStr">
        <is>
          <t>NO</t>
        </is>
      </c>
      <c r="D29" s="10" t="inlineStr">
        <is>
          <t>2° Año</t>
        </is>
      </c>
      <c r="E29" s="10">
        <f>IF(B29="SI", "REGULAR", "PENDIENTE")</f>
        <v/>
      </c>
      <c r="F29" s="10">
        <f>IF(C29="SI", "APROBADO", IF(B29="SI", "ADEUDA FINAL", "ADEUDA"))</f>
        <v/>
      </c>
      <c r="G29" s="11">
        <f>IF(C29="SI", "🟢 Aprobada", IF(B29="SI", "🟡 Regular", "🟣 Pendiente"))</f>
        <v/>
      </c>
    </row>
    <row r="30" ht="20" customHeight="1">
      <c r="A30" s="8" t="inlineStr">
        <is>
          <t>Trabajo de Campo II</t>
        </is>
      </c>
      <c r="B30" s="9" t="inlineStr">
        <is>
          <t>NO</t>
        </is>
      </c>
      <c r="C30" s="9" t="inlineStr">
        <is>
          <t>NO</t>
        </is>
      </c>
      <c r="D30" s="10" t="inlineStr">
        <is>
          <t>2° Año</t>
        </is>
      </c>
      <c r="E30" s="10">
        <f>IF(B30="SI", "REGULAR", "PENDIENTE")</f>
        <v/>
      </c>
      <c r="F30" s="10">
        <f>IF(C30="SI", "APROBADO", IF(B30="SI", "ADEUDA FINAL", "ADEUDA"))</f>
        <v/>
      </c>
      <c r="G30" s="11">
        <f>IF(C30="SI", "🟢 Aprobada", IF(B30="SI", "🟡 Regular", "🟣 Pendiente"))</f>
        <v/>
      </c>
    </row>
    <row r="31" ht="22" customHeight="1">
      <c r="A31" s="7" t="inlineStr">
        <is>
          <t>📌 TRAMO SUPERIOR / SEMINARIOS</t>
        </is>
      </c>
    </row>
    <row r="32" ht="20" customHeight="1">
      <c r="A32" s="8" t="inlineStr">
        <is>
          <t>Escuela y comunidad</t>
        </is>
      </c>
      <c r="B32" s="9" t="inlineStr">
        <is>
          <t>NO</t>
        </is>
      </c>
      <c r="C32" s="9" t="inlineStr">
        <is>
          <t>NO</t>
        </is>
      </c>
      <c r="D32" s="10" t="inlineStr">
        <is>
          <t>Tramo Superior / Seminarios</t>
        </is>
      </c>
      <c r="E32" s="10">
        <f>IF(B32="SI", "REGULAR", "PENDIENTE")</f>
        <v/>
      </c>
      <c r="F32" s="10">
        <f>IF(C32="SI", "APROBADO", IF(B32="SI", "ADEUDA FINAL", "ADEUDA"))</f>
        <v/>
      </c>
      <c r="G32" s="11">
        <f>IF(C32="SI", "🟢 Aprobada", IF(B32="SI", "🟡 Regular", "🟣 Pendiente"))</f>
        <v/>
      </c>
    </row>
    <row r="33" ht="22" customHeight="1">
      <c r="A33" s="7" t="inlineStr">
        <is>
          <t>📌 3° AÑO</t>
        </is>
      </c>
    </row>
    <row r="34" ht="20" customHeight="1">
      <c r="A34" s="8" t="inlineStr">
        <is>
          <t>Historia de la educación Argentina</t>
        </is>
      </c>
      <c r="B34" s="9" t="inlineStr">
        <is>
          <t>NO</t>
        </is>
      </c>
      <c r="C34" s="9" t="inlineStr">
        <is>
          <t>NO</t>
        </is>
      </c>
      <c r="D34" s="10" t="inlineStr">
        <is>
          <t>3° Año</t>
        </is>
      </c>
      <c r="E34" s="10">
        <f>IF(B34="SI", "REGULAR", "PENDIENTE")</f>
        <v/>
      </c>
      <c r="F34" s="10">
        <f>IF(C34="SI", "APROBADO", IF(B34="SI", "ADEUDA FINAL", "ADEUDA"))</f>
        <v/>
      </c>
      <c r="G34" s="11">
        <f>IF(C34="SI", "🟢 Aprobada", IF(B34="SI", "🟡 Regular", "🟣 Pendiente"))</f>
        <v/>
      </c>
    </row>
    <row r="35" ht="20" customHeight="1">
      <c r="A35" s="8" t="inlineStr">
        <is>
          <t>Psicología de los ciclos vitales 2</t>
        </is>
      </c>
      <c r="B35" s="9" t="inlineStr">
        <is>
          <t>NO</t>
        </is>
      </c>
      <c r="C35" s="9" t="inlineStr">
        <is>
          <t>NO</t>
        </is>
      </c>
      <c r="D35" s="10" t="inlineStr">
        <is>
          <t>3° Año</t>
        </is>
      </c>
      <c r="E35" s="10">
        <f>IF(B35="SI", "REGULAR", "PENDIENTE")</f>
        <v/>
      </c>
      <c r="F35" s="10">
        <f>IF(C35="SI", "APROBADO", IF(B35="SI", "ADEUDA FINAL", "ADEUDA"))</f>
        <v/>
      </c>
      <c r="G35" s="11">
        <f>IF(C35="SI", "🟢 Aprobada", IF(B35="SI", "🟡 Regular", "🟣 Pendiente"))</f>
        <v/>
      </c>
    </row>
    <row r="36" ht="20" customHeight="1">
      <c r="A36" s="8" t="inlineStr">
        <is>
          <t>Adolescencia y mundo contemporaneo</t>
        </is>
      </c>
      <c r="B36" s="9" t="inlineStr">
        <is>
          <t>NO</t>
        </is>
      </c>
      <c r="C36" s="9" t="inlineStr">
        <is>
          <t>NO</t>
        </is>
      </c>
      <c r="D36" s="10" t="inlineStr">
        <is>
          <t>3° Año</t>
        </is>
      </c>
      <c r="E36" s="10">
        <f>IF(B36="SI", "REGULAR", "PENDIENTE")</f>
        <v/>
      </c>
      <c r="F36" s="10">
        <f>IF(C36="SI", "APROBADO", IF(B36="SI", "ADEUDA FINAL", "ADEUDA"))</f>
        <v/>
      </c>
      <c r="G36" s="11">
        <f>IF(C36="SI", "🟢 Aprobada", IF(B36="SI", "🟡 Regular", "🟣 Pendiente"))</f>
        <v/>
      </c>
    </row>
    <row r="37" ht="20" customHeight="1">
      <c r="A37" s="8" t="inlineStr">
        <is>
          <t>Teória de las organizaciones y análisis institucionales</t>
        </is>
      </c>
      <c r="B37" s="9" t="inlineStr">
        <is>
          <t>NO</t>
        </is>
      </c>
      <c r="C37" s="9" t="inlineStr">
        <is>
          <t>NO</t>
        </is>
      </c>
      <c r="D37" s="10" t="inlineStr">
        <is>
          <t>3° Año</t>
        </is>
      </c>
      <c r="E37" s="10">
        <f>IF(B37="SI", "REGULAR", "PENDIENTE")</f>
        <v/>
      </c>
      <c r="F37" s="10">
        <f>IF(C37="SI", "APROBADO", IF(B37="SI", "ADEUDA FINAL", "ADEUDA"))</f>
        <v/>
      </c>
      <c r="G37" s="11">
        <f>IF(C37="SI", "🟢 Aprobada", IF(B37="SI", "🟡 Regular", "🟣 Pendiente"))</f>
        <v/>
      </c>
    </row>
    <row r="38" ht="20" customHeight="1">
      <c r="A38" s="8" t="inlineStr">
        <is>
          <t>Teória psicoanalitica</t>
        </is>
      </c>
      <c r="B38" s="9" t="inlineStr">
        <is>
          <t>NO</t>
        </is>
      </c>
      <c r="C38" s="9" t="inlineStr">
        <is>
          <t>NO</t>
        </is>
      </c>
      <c r="D38" s="10" t="inlineStr">
        <is>
          <t>3° Año</t>
        </is>
      </c>
      <c r="E38" s="10">
        <f>IF(B38="SI", "REGULAR", "PENDIENTE")</f>
        <v/>
      </c>
      <c r="F38" s="10">
        <f>IF(C38="SI", "APROBADO", IF(B38="SI", "ADEUDA FINAL", "ADEUDA"))</f>
        <v/>
      </c>
      <c r="G38" s="11">
        <f>IF(C38="SI", "🟢 Aprobada", IF(B38="SI", "🟡 Regular", "🟣 Pendiente"))</f>
        <v/>
      </c>
    </row>
    <row r="39" ht="20" customHeight="1">
      <c r="A39" s="8" t="inlineStr">
        <is>
          <t>Tecnicas de exploración psicologica</t>
        </is>
      </c>
      <c r="B39" s="9" t="inlineStr">
        <is>
          <t>NO</t>
        </is>
      </c>
      <c r="C39" s="9" t="inlineStr">
        <is>
          <t>NO</t>
        </is>
      </c>
      <c r="D39" s="10" t="inlineStr">
        <is>
          <t>3° Año</t>
        </is>
      </c>
      <c r="E39" s="10">
        <f>IF(B39="SI", "REGULAR", "PENDIENTE")</f>
        <v/>
      </c>
      <c r="F39" s="10">
        <f>IF(C39="SI", "APROBADO", IF(B39="SI", "ADEUDA FINAL", "ADEUDA"))</f>
        <v/>
      </c>
      <c r="G39" s="11">
        <f>IF(C39="SI", "🟢 Aprobada", IF(B39="SI", "🟡 Regular", "🟣 Pendiente"))</f>
        <v/>
      </c>
    </row>
    <row r="40" ht="20" customHeight="1">
      <c r="A40" s="8" t="inlineStr">
        <is>
          <t>Teória y dinamica de los grupos de aprendizaje</t>
        </is>
      </c>
      <c r="B40" s="9" t="inlineStr">
        <is>
          <t>NO</t>
        </is>
      </c>
      <c r="C40" s="9" t="inlineStr">
        <is>
          <t>NO</t>
        </is>
      </c>
      <c r="D40" s="10" t="inlineStr">
        <is>
          <t>3° Año</t>
        </is>
      </c>
      <c r="E40" s="10">
        <f>IF(B40="SI", "REGULAR", "PENDIENTE")</f>
        <v/>
      </c>
      <c r="F40" s="10">
        <f>IF(C40="SI", "APROBADO", IF(B40="SI", "ADEUDA FINAL", "ADEUDA"))</f>
        <v/>
      </c>
      <c r="G40" s="11">
        <f>IF(C40="SI", "🟢 Aprobada", IF(B40="SI", "🟡 Regular", "🟣 Pendiente"))</f>
        <v/>
      </c>
    </row>
    <row r="41" ht="20" customHeight="1">
      <c r="A41" s="8" t="inlineStr">
        <is>
          <t>Estrategias para la resolución de conflictos</t>
        </is>
      </c>
      <c r="B41" s="9" t="inlineStr">
        <is>
          <t>NO</t>
        </is>
      </c>
      <c r="C41" s="9" t="inlineStr">
        <is>
          <t>NO</t>
        </is>
      </c>
      <c r="D41" s="10" t="inlineStr">
        <is>
          <t>3° Año</t>
        </is>
      </c>
      <c r="E41" s="10">
        <f>IF(B41="SI", "REGULAR", "PENDIENTE")</f>
        <v/>
      </c>
      <c r="F41" s="10">
        <f>IF(C41="SI", "APROBADO", IF(B41="SI", "ADEUDA FINAL", "ADEUDA"))</f>
        <v/>
      </c>
      <c r="G41" s="11">
        <f>IF(C41="SI", "🟢 Aprobada", IF(B41="SI", "🟡 Regular", "🟣 Pendiente"))</f>
        <v/>
      </c>
    </row>
    <row r="42" ht="20" customHeight="1">
      <c r="A42" s="8" t="inlineStr">
        <is>
          <t>Sistema y política educativa</t>
        </is>
      </c>
      <c r="B42" s="9" t="inlineStr">
        <is>
          <t>NO</t>
        </is>
      </c>
      <c r="C42" s="9" t="inlineStr">
        <is>
          <t>NO</t>
        </is>
      </c>
      <c r="D42" s="10" t="inlineStr">
        <is>
          <t>3° Año</t>
        </is>
      </c>
      <c r="E42" s="10">
        <f>IF(B42="SI", "REGULAR", "PENDIENTE")</f>
        <v/>
      </c>
      <c r="F42" s="10">
        <f>IF(C42="SI", "APROBADO", IF(B42="SI", "ADEUDA FINAL", "ADEUDA"))</f>
        <v/>
      </c>
      <c r="G42" s="11">
        <f>IF(C42="SI", "🟢 Aprobada", IF(B42="SI", "🟡 Regular", "🟣 Pendiente"))</f>
        <v/>
      </c>
    </row>
    <row r="43" ht="20" customHeight="1">
      <c r="A43" s="8" t="inlineStr">
        <is>
          <t>Teória psicoanalitica post Freudiana</t>
        </is>
      </c>
      <c r="B43" s="9" t="inlineStr">
        <is>
          <t>NO</t>
        </is>
      </c>
      <c r="C43" s="9" t="inlineStr">
        <is>
          <t>NO</t>
        </is>
      </c>
      <c r="D43" s="10" t="inlineStr">
        <is>
          <t>3° Año</t>
        </is>
      </c>
      <c r="E43" s="10">
        <f>IF(B43="SI", "REGULAR", "PENDIENTE")</f>
        <v/>
      </c>
      <c r="F43" s="10">
        <f>IF(C43="SI", "APROBADO", IF(B43="SI", "ADEUDA FINAL", "ADEUDA"))</f>
        <v/>
      </c>
      <c r="G43" s="11">
        <f>IF(C43="SI", "🟢 Aprobada", IF(B43="SI", "🟡 Regular", "🟣 Pendiente"))</f>
        <v/>
      </c>
    </row>
    <row r="44" ht="20" customHeight="1">
      <c r="A44" s="8" t="inlineStr">
        <is>
          <t>Teória y practica de la comunicación</t>
        </is>
      </c>
      <c r="B44" s="9" t="inlineStr">
        <is>
          <t>NO</t>
        </is>
      </c>
      <c r="C44" s="9" t="inlineStr">
        <is>
          <t>NO</t>
        </is>
      </c>
      <c r="D44" s="10" t="inlineStr">
        <is>
          <t>3° Año</t>
        </is>
      </c>
      <c r="E44" s="10">
        <f>IF(B44="SI", "REGULAR", "PENDIENTE")</f>
        <v/>
      </c>
      <c r="F44" s="10">
        <f>IF(C44="SI", "APROBADO", IF(B44="SI", "ADEUDA FINAL", "ADEUDA"))</f>
        <v/>
      </c>
      <c r="G44" s="11">
        <f>IF(C44="SI", "🟢 Aprobada", IF(B44="SI", "🟡 Regular", "🟣 Pendiente"))</f>
        <v/>
      </c>
    </row>
    <row r="45" ht="20" customHeight="1">
      <c r="A45" s="8" t="inlineStr">
        <is>
          <t>Neuropsicología del aprendizaje</t>
        </is>
      </c>
      <c r="B45" s="9" t="inlineStr">
        <is>
          <t>NO</t>
        </is>
      </c>
      <c r="C45" s="9" t="inlineStr">
        <is>
          <t>NO</t>
        </is>
      </c>
      <c r="D45" s="10" t="inlineStr">
        <is>
          <t>3° Año</t>
        </is>
      </c>
      <c r="E45" s="10">
        <f>IF(B45="SI", "REGULAR", "PENDIENTE")</f>
        <v/>
      </c>
      <c r="F45" s="10">
        <f>IF(C45="SI", "APROBADO", IF(B45="SI", "ADEUDA FINAL", "ADEUDA"))</f>
        <v/>
      </c>
      <c r="G45" s="11">
        <f>IF(C45="SI", "🟢 Aprobada", IF(B45="SI", "🟡 Regular", "🟣 Pendiente"))</f>
        <v/>
      </c>
    </row>
    <row r="46" ht="22" customHeight="1">
      <c r="A46" s="7" t="inlineStr">
        <is>
          <t>📌 4° AÑO</t>
        </is>
      </c>
    </row>
    <row r="47" ht="20" customHeight="1">
      <c r="A47" s="8" t="inlineStr">
        <is>
          <t>Esi</t>
        </is>
      </c>
      <c r="B47" s="9" t="inlineStr">
        <is>
          <t>NO</t>
        </is>
      </c>
      <c r="C47" s="9" t="inlineStr">
        <is>
          <t>NO</t>
        </is>
      </c>
      <c r="D47" s="10" t="inlineStr">
        <is>
          <t>4° Año</t>
        </is>
      </c>
      <c r="E47" s="10">
        <f>IF(B47="SI", "REGULAR", "PENDIENTE")</f>
        <v/>
      </c>
      <c r="F47" s="10">
        <f>IF(C47="SI", "APROBADO", IF(B47="SI", "ADEUDA FINAL", "ADEUDA"))</f>
        <v/>
      </c>
      <c r="G47" s="11">
        <f>IF(C47="SI", "🟢 Aprobada", IF(B47="SI", "🟡 Regular", "🟣 Pendiente"))</f>
        <v/>
      </c>
    </row>
    <row r="48" ht="20" customHeight="1">
      <c r="A48" s="8" t="inlineStr">
        <is>
          <t>Taller didáctico para la enseñanza de la piscología</t>
        </is>
      </c>
      <c r="B48" s="9" t="inlineStr">
        <is>
          <t>NO</t>
        </is>
      </c>
      <c r="C48" s="9" t="inlineStr">
        <is>
          <t>NO</t>
        </is>
      </c>
      <c r="D48" s="10" t="inlineStr">
        <is>
          <t>4° Año</t>
        </is>
      </c>
      <c r="E48" s="10">
        <f>IF(B48="SI", "REGULAR", "PENDIENTE")</f>
        <v/>
      </c>
      <c r="F48" s="10">
        <f>IF(C48="SI", "APROBADO", IF(B48="SI", "ADEUDA FINAL", "ADEUDA"))</f>
        <v/>
      </c>
      <c r="G48" s="11">
        <f>IF(C48="SI", "🟢 Aprobada", IF(B48="SI", "🟡 Regular", "🟣 Pendiente"))</f>
        <v/>
      </c>
    </row>
    <row r="49" ht="20" customHeight="1">
      <c r="A49" s="8" t="inlineStr">
        <is>
          <t>Historia de la psicología</t>
        </is>
      </c>
      <c r="B49" s="9" t="inlineStr">
        <is>
          <t>NO</t>
        </is>
      </c>
      <c r="C49" s="9" t="inlineStr">
        <is>
          <t>NO</t>
        </is>
      </c>
      <c r="D49" s="10" t="inlineStr">
        <is>
          <t>4° Año</t>
        </is>
      </c>
      <c r="E49" s="10">
        <f>IF(B49="SI", "REGULAR", "PENDIENTE")</f>
        <v/>
      </c>
      <c r="F49" s="10">
        <f>IF(C49="SI", "APROBADO", IF(B49="SI", "ADEUDA FINAL", "ADEUDA"))</f>
        <v/>
      </c>
      <c r="G49" s="11">
        <f>IF(C49="SI", "🟢 Aprobada", IF(B49="SI", "🟡 Regular", "🟣 Pendiente"))</f>
        <v/>
      </c>
    </row>
    <row r="50" ht="20" customHeight="1">
      <c r="A50" s="8" t="inlineStr">
        <is>
          <t>Prácticas de la investigación psicologíca</t>
        </is>
      </c>
      <c r="B50" s="9" t="inlineStr">
        <is>
          <t>NO</t>
        </is>
      </c>
      <c r="C50" s="9" t="inlineStr">
        <is>
          <t>NO</t>
        </is>
      </c>
      <c r="D50" s="10" t="inlineStr">
        <is>
          <t>4° Año</t>
        </is>
      </c>
      <c r="E50" s="10">
        <f>IF(B50="SI", "REGULAR", "PENDIENTE")</f>
        <v/>
      </c>
      <c r="F50" s="10">
        <f>IF(C50="SI", "APROBADO", IF(B50="SI", "ADEUDA FINAL", "ADEUDA"))</f>
        <v/>
      </c>
      <c r="G50" s="11">
        <f>IF(C50="SI", "🟢 Aprobada", IF(B50="SI", "🟡 Regular", "🟣 Pendiente"))</f>
        <v/>
      </c>
    </row>
    <row r="51" ht="20" customHeight="1">
      <c r="A51" s="8" t="inlineStr">
        <is>
          <t>Piscopedagogia</t>
        </is>
      </c>
      <c r="B51" s="9" t="inlineStr">
        <is>
          <t>NO</t>
        </is>
      </c>
      <c r="C51" s="9" t="inlineStr">
        <is>
          <t>NO</t>
        </is>
      </c>
      <c r="D51" s="10" t="inlineStr">
        <is>
          <t>4° Año</t>
        </is>
      </c>
      <c r="E51" s="10">
        <f>IF(B51="SI", "REGULAR", "PENDIENTE")</f>
        <v/>
      </c>
      <c r="F51" s="10">
        <f>IF(C51="SI", "APROBADO", IF(B51="SI", "ADEUDA FINAL", "ADEUDA"))</f>
        <v/>
      </c>
      <c r="G51" s="11">
        <f>IF(C51="SI", "🟢 Aprobada", IF(B51="SI", "🟡 Regular", "🟣 Pendiente"))</f>
        <v/>
      </c>
    </row>
    <row r="52" ht="20" customHeight="1">
      <c r="A52" s="8" t="inlineStr">
        <is>
          <t>Psicopatologia</t>
        </is>
      </c>
      <c r="B52" s="9" t="inlineStr">
        <is>
          <t>NO</t>
        </is>
      </c>
      <c r="C52" s="9" t="inlineStr">
        <is>
          <t>NO</t>
        </is>
      </c>
      <c r="D52" s="10" t="inlineStr">
        <is>
          <t>4° Año</t>
        </is>
      </c>
      <c r="E52" s="10">
        <f>IF(B52="SI", "REGULAR", "PENDIENTE")</f>
        <v/>
      </c>
      <c r="F52" s="10">
        <f>IF(C52="SI", "APROBADO", IF(B52="SI", "ADEUDA FINAL", "ADEUDA"))</f>
        <v/>
      </c>
      <c r="G52" s="11">
        <f>IF(C52="SI", "🟢 Aprobada", IF(B52="SI", "🟡 Regular", "🟣 Pendiente"))</f>
        <v/>
      </c>
    </row>
    <row r="53" ht="20" customHeight="1">
      <c r="A53" s="8" t="inlineStr">
        <is>
          <t>Psicologia del arte</t>
        </is>
      </c>
      <c r="B53" s="9" t="inlineStr">
        <is>
          <t>NO</t>
        </is>
      </c>
      <c r="C53" s="9" t="inlineStr">
        <is>
          <t>NO</t>
        </is>
      </c>
      <c r="D53" s="10" t="inlineStr">
        <is>
          <t>4° Año</t>
        </is>
      </c>
      <c r="E53" s="10">
        <f>IF(B53="SI", "REGULAR", "PENDIENTE")</f>
        <v/>
      </c>
      <c r="F53" s="10">
        <f>IF(C53="SI", "APROBADO", IF(B53="SI", "ADEUDA FINAL", "ADEUDA"))</f>
        <v/>
      </c>
      <c r="G53" s="11">
        <f>IF(C53="SI", "🟢 Aprobada", IF(B53="SI", "🟡 Regular", "🟣 Pendiente"))</f>
        <v/>
      </c>
    </row>
    <row r="54" ht="20" customHeight="1">
      <c r="A54" s="8" t="inlineStr">
        <is>
          <t>Escuela y violencia</t>
        </is>
      </c>
      <c r="B54" s="9" t="inlineStr">
        <is>
          <t>NO</t>
        </is>
      </c>
      <c r="C54" s="9" t="inlineStr">
        <is>
          <t>NO</t>
        </is>
      </c>
      <c r="D54" s="10" t="inlineStr">
        <is>
          <t>4° Año</t>
        </is>
      </c>
      <c r="E54" s="10">
        <f>IF(B54="SI", "REGULAR", "PENDIENTE")</f>
        <v/>
      </c>
      <c r="F54" s="10">
        <f>IF(C54="SI", "APROBADO", IF(B54="SI", "ADEUDA FINAL", "ADEUDA"))</f>
        <v/>
      </c>
      <c r="G54" s="11">
        <f>IF(C54="SI", "🟢 Aprobada", IF(B54="SI", "🟡 Regular", "🟣 Pendiente"))</f>
        <v/>
      </c>
    </row>
    <row r="55" ht="20" customHeight="1">
      <c r="A55" s="8" t="inlineStr">
        <is>
          <t>Práctica de la enseñanza psicologica nivel medio y superior</t>
        </is>
      </c>
      <c r="B55" s="9" t="inlineStr">
        <is>
          <t>NO</t>
        </is>
      </c>
      <c r="C55" s="9" t="inlineStr">
        <is>
          <t>NO</t>
        </is>
      </c>
      <c r="D55" s="10" t="inlineStr">
        <is>
          <t>4° Año</t>
        </is>
      </c>
      <c r="E55" s="10">
        <f>IF(B55="SI", "REGULAR", "PENDIENTE")</f>
        <v/>
      </c>
      <c r="F55" s="10">
        <f>IF(C55="SI", "APROBADO", IF(B55="SI", "ADEUDA FINAL", "ADEUDA"))</f>
        <v/>
      </c>
      <c r="G55" s="11">
        <f>IF(C55="SI", "🟢 Aprobada", IF(B55="SI", "🟡 Regular", "🟣 Pendiente"))</f>
        <v/>
      </c>
    </row>
    <row r="56" ht="20" customHeight="1">
      <c r="A56" s="8" t="inlineStr">
        <is>
          <t>Lengua extranjera</t>
        </is>
      </c>
      <c r="B56" s="9" t="inlineStr">
        <is>
          <t>NO</t>
        </is>
      </c>
      <c r="C56" s="9" t="inlineStr">
        <is>
          <t>NO</t>
        </is>
      </c>
      <c r="D56" s="10" t="inlineStr">
        <is>
          <t>4° Año</t>
        </is>
      </c>
      <c r="E56" s="10">
        <f>IF(B56="SI", "REGULAR", "PENDIENTE")</f>
        <v/>
      </c>
      <c r="F56" s="10">
        <f>IF(C56="SI", "APROBADO", IF(B56="SI", "ADEUDA FINAL", "ADEUDA"))</f>
        <v/>
      </c>
      <c r="G56" s="11">
        <f>IF(C56="SI", "🟢 Aprobada", IF(B56="SI", "🟡 Regular", "🟣 Pendiente"))</f>
        <v/>
      </c>
    </row>
    <row r="57" ht="22" customHeight="1">
      <c r="A57" s="7" t="inlineStr">
        <is>
          <t>📌 5° AÑO</t>
        </is>
      </c>
    </row>
    <row r="58" ht="20" customHeight="1">
      <c r="A58" s="8" t="inlineStr">
        <is>
          <t>Práctica de la enseñanza psicologica nivel medio y residencia</t>
        </is>
      </c>
      <c r="B58" s="9" t="inlineStr">
        <is>
          <t>NO</t>
        </is>
      </c>
      <c r="C58" s="9" t="inlineStr">
        <is>
          <t>NO</t>
        </is>
      </c>
      <c r="D58" s="10" t="inlineStr">
        <is>
          <t>5° Año</t>
        </is>
      </c>
      <c r="E58" s="10">
        <f>IF(B58="SI", "REGULAR", "PENDIENTE")</f>
        <v/>
      </c>
      <c r="F58" s="10">
        <f>IF(C58="SI", "APROBADO", IF(B58="SI", "ADEUDA FINAL", "ADEUDA"))</f>
        <v/>
      </c>
      <c r="G58" s="11">
        <f>IF(C58="SI", "🟢 Aprobada", IF(B58="SI", "🟡 Regular", "🟣 Pendiente"))</f>
        <v/>
      </c>
    </row>
    <row r="59" ht="20" customHeight="1">
      <c r="A59" s="8" t="inlineStr">
        <is>
          <t>Introducción a los estudios de genero</t>
        </is>
      </c>
      <c r="B59" s="9" t="inlineStr">
        <is>
          <t>NO</t>
        </is>
      </c>
      <c r="C59" s="9" t="inlineStr">
        <is>
          <t>NO</t>
        </is>
      </c>
      <c r="D59" s="10" t="inlineStr">
        <is>
          <t>5° Año</t>
        </is>
      </c>
      <c r="E59" s="10">
        <f>IF(B59="SI", "REGULAR", "PENDIENTE")</f>
        <v/>
      </c>
      <c r="F59" s="10">
        <f>IF(C59="SI", "APROBADO", IF(B59="SI", "ADEUDA FINAL", "ADEUDA"))</f>
        <v/>
      </c>
      <c r="G59" s="11">
        <f>IF(C59="SI", "🟢 Aprobada", IF(B59="SI", "🟡 Regular", "🟣 Pendiente"))</f>
        <v/>
      </c>
    </row>
    <row r="60" ht="20" customHeight="1">
      <c r="A60" s="8" t="inlineStr">
        <is>
          <t>Pedagogía de la convivencia escolar</t>
        </is>
      </c>
      <c r="B60" s="9" t="inlineStr">
        <is>
          <t>NO</t>
        </is>
      </c>
      <c r="C60" s="9" t="inlineStr">
        <is>
          <t>NO</t>
        </is>
      </c>
      <c r="D60" s="10" t="inlineStr">
        <is>
          <t>5° Año</t>
        </is>
      </c>
      <c r="E60" s="10">
        <f>IF(B60="SI", "REGULAR", "PENDIENTE")</f>
        <v/>
      </c>
      <c r="F60" s="10">
        <f>IF(C60="SI", "APROBADO", IF(B60="SI", "ADEUDA FINAL", "ADEUDA"))</f>
        <v/>
      </c>
      <c r="G60" s="11">
        <f>IF(C60="SI", "🟢 Aprobada", IF(B60="SI", "🟡 Regular", "🟣 Pendiente"))</f>
        <v/>
      </c>
    </row>
    <row r="61" ht="20" customHeight="1">
      <c r="A61" s="8" t="inlineStr">
        <is>
          <t>Psicología aplicada al deporte</t>
        </is>
      </c>
      <c r="B61" s="9" t="inlineStr">
        <is>
          <t>NO</t>
        </is>
      </c>
      <c r="C61" s="9" t="inlineStr">
        <is>
          <t>NO</t>
        </is>
      </c>
      <c r="D61" s="10" t="inlineStr">
        <is>
          <t>5° Año</t>
        </is>
      </c>
      <c r="E61" s="10">
        <f>IF(B61="SI", "REGULAR", "PENDIENTE")</f>
        <v/>
      </c>
      <c r="F61" s="10">
        <f>IF(C61="SI", "APROBADO", IF(B61="SI", "ADEUDA FINAL", "ADEUDA"))</f>
        <v/>
      </c>
      <c r="G61" s="11">
        <f>IF(C61="SI", "🟢 Aprobada", IF(B61="SI", "🟡 Regular", "🟣 Pendiente"))</f>
        <v/>
      </c>
    </row>
    <row r="62" ht="20" customHeight="1">
      <c r="A62" s="8" t="inlineStr">
        <is>
          <t>Orientación vocacional y ocupacional</t>
        </is>
      </c>
      <c r="B62" s="9" t="inlineStr">
        <is>
          <t>NO</t>
        </is>
      </c>
      <c r="C62" s="9" t="inlineStr">
        <is>
          <t>NO</t>
        </is>
      </c>
      <c r="D62" s="10" t="inlineStr">
        <is>
          <t>5° Año</t>
        </is>
      </c>
      <c r="E62" s="10">
        <f>IF(B62="SI", "REGULAR", "PENDIENTE")</f>
        <v/>
      </c>
      <c r="F62" s="10">
        <f>IF(C62="SI", "APROBADO", IF(B62="SI", "ADEUDA FINAL", "ADEUDA"))</f>
        <v/>
      </c>
      <c r="G62" s="11">
        <f>IF(C62="SI", "🟢 Aprobada", IF(B62="SI", "🟡 Regular", "🟣 Pendiente"))</f>
        <v/>
      </c>
    </row>
    <row r="63" ht="20" customHeight="1">
      <c r="A63" s="8" t="inlineStr">
        <is>
          <t>Epistemologia y psicologia genetica</t>
        </is>
      </c>
      <c r="B63" s="9" t="inlineStr">
        <is>
          <t>NO</t>
        </is>
      </c>
      <c r="C63" s="9" t="inlineStr">
        <is>
          <t>NO</t>
        </is>
      </c>
      <c r="D63" s="10" t="inlineStr">
        <is>
          <t>5° Año</t>
        </is>
      </c>
      <c r="E63" s="10">
        <f>IF(B63="SI", "REGULAR", "PENDIENTE")</f>
        <v/>
      </c>
      <c r="F63" s="10">
        <f>IF(C63="SI", "APROBADO", IF(B63="SI", "ADEUDA FINAL", "ADEUDA"))</f>
        <v/>
      </c>
      <c r="G63" s="11">
        <f>IF(C63="SI", "🟢 Aprobada", IF(B63="SI", "🟡 Regular", "🟣 Pendiente"))</f>
        <v/>
      </c>
    </row>
    <row r="64" ht="20" customHeight="1">
      <c r="A64" s="8" t="inlineStr">
        <is>
          <t>• Es obligatorio cursar y apobrar a lo largo de la carrera cuatro instancias curriculares optativas.</t>
        </is>
      </c>
      <c r="B64" s="9" t="inlineStr">
        <is>
          <t>NO</t>
        </is>
      </c>
      <c r="C64" s="9" t="inlineStr">
        <is>
          <t>NO</t>
        </is>
      </c>
      <c r="D64" s="10" t="inlineStr">
        <is>
          <t>5° Año</t>
        </is>
      </c>
      <c r="E64" s="10">
        <f>IF(B64="SI", "REGULAR", "PENDIENTE")</f>
        <v/>
      </c>
      <c r="F64" s="10">
        <f>IF(C64="SI", "APROBADO", IF(B64="SI", "ADEUDA FINAL", "ADEUDA"))</f>
        <v/>
      </c>
      <c r="G64" s="11">
        <f>IF(C64="SI", "🟢 Aprobada", IF(B64="SI", "🟡 Regular", "🟣 Pendiente"))</f>
        <v/>
      </c>
    </row>
  </sheetData>
  <mergeCells count="16">
    <mergeCell ref="A33:G33"/>
    <mergeCell ref="I12:J12"/>
    <mergeCell ref="A1:G1"/>
    <mergeCell ref="A31:G31"/>
    <mergeCell ref="I15:J15"/>
    <mergeCell ref="I10:J10"/>
    <mergeCell ref="I1:K1"/>
    <mergeCell ref="I11:J11"/>
    <mergeCell ref="A2:G2"/>
    <mergeCell ref="I13:J13"/>
    <mergeCell ref="I14:J14"/>
    <mergeCell ref="A57:G57"/>
    <mergeCell ref="A19:G19"/>
    <mergeCell ref="I9:J9"/>
    <mergeCell ref="A5:G5"/>
    <mergeCell ref="A46:G46"/>
  </mergeCells>
  <dataValidations count="1">
    <dataValidation sqref="B6 B7 B8 B9 B10 B11 B12 B13 B14 B15 B16 B17 B18 B20 B21 B22 B23 B24 B25 B26 B27 B28 B29 B30 B32 B34 B35 B36 B37 B38 B39 B40 B41 B42 B43 B44 B45 B47 B48 B49 B50 B51 B52 B53 B54 B55 B56 B58 B59 B60 B61 B62 B63 B64 C6 C7 C8 C9 C10 C11 C12 C13 C14 C15 C16 C17 C18 C20 C21 C22 C23 C24 C25 C26 C27 C28 C29 C30 C32 C34 C35 C36 C37 C38 C39 C40 C41 C42 C43 C44 C45 C47 C48 C49 C50 C51 C52 C53 C54 C55 C56 C58 C59 C60 C61 C62 C63 C64"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2026-08-31T01:47:26Z</dcterms:created>
  <dcterms:modified xmlns:dcterms="http://purl.org/dc/terms/" xmlns:xsi="http://www.w3.org/2001/XMLSchema-instance" xsi:type="dcterms:W3CDTF">2026-08-31T01:47:26Z</dcterms:modified>
</cp:coreProperties>
</file>