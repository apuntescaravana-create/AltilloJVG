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3"/>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PSICOLOGÍA</t>
        </is>
      </c>
      <c r="I1" s="2" t="inlineStr">
        <is>
          <t>CONTROL DE TRAYECTORIA</t>
        </is>
      </c>
    </row>
    <row r="2" ht="22" customHeight="1">
      <c r="A2" s="3" t="inlineStr">
        <is>
          <t>La Caravana + Estudiantes Independientes | Altillo JVG - ISP Joaquín V. González</t>
        </is>
      </c>
      <c r="I2" s="4" t="inlineStr">
        <is>
          <t>Total de Materias del Plan</t>
        </is>
      </c>
      <c r="J2" s="5" t="n">
        <v>34</v>
      </c>
    </row>
    <row r="3" ht="22" customHeight="1">
      <c r="I3" s="4" t="inlineStr">
        <is>
          <t>Materias con Cursada Regular</t>
        </is>
      </c>
      <c r="J3" s="5">
        <f>COUNTIF(B6:B43,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COUNTIF(C6:C43, "SI")</f>
        <v/>
      </c>
    </row>
    <row r="5" ht="22" customHeight="1">
      <c r="A5" s="7" t="inlineStr">
        <is>
          <t>📌 1° AÑO</t>
        </is>
      </c>
      <c r="I5" s="4" t="inlineStr">
        <is>
          <t>Finales Adeudados</t>
        </is>
      </c>
      <c r="J5" s="5">
        <f>COUNTIF(F6:F43, "ADEUDA FINAL")</f>
        <v/>
      </c>
    </row>
    <row r="6" ht="22" customHeight="1">
      <c r="A6" s="8" t="inlineStr">
        <is>
          <t>Psicología General</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COUNTIF(B6:B43, "SI")/34</f>
        <v/>
      </c>
    </row>
    <row r="7" ht="22" customHeight="1">
      <c r="A7" s="8" t="inlineStr">
        <is>
          <t>Antropología Social y Cultural</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COUNTIF(C6:C43, "SI")/34</f>
        <v/>
      </c>
    </row>
    <row r="8" ht="20" customHeight="1">
      <c r="A8" s="8" t="inlineStr">
        <is>
          <t>Lógica y Epistemología General</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Biología y Neurociencias del Comportamiento</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Procesos Colectivos y Problemas Sociales</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Pedagogía</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Lectura, Escritura y Oralidad I (LEO 1)</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Trabajo de Campo I</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7" t="inlineStr">
        <is>
          <t>📌 2° AÑO</t>
        </is>
      </c>
      <c r="I14" s="14" t="inlineStr">
        <is>
          <t>5. El panel lateral calcula tu avance y porcentaje de carrera en vivo.</t>
        </is>
      </c>
    </row>
    <row r="15" ht="20" customHeight="1">
      <c r="A15" s="8" t="inlineStr">
        <is>
          <t>Psicología del Desarrollo y Ciclos Vitales I (Niñez y Adolescencia)</t>
        </is>
      </c>
      <c r="B15" s="9" t="inlineStr">
        <is>
          <t>NO</t>
        </is>
      </c>
      <c r="C15" s="9" t="inlineStr">
        <is>
          <t>NO</t>
        </is>
      </c>
      <c r="D15" s="10" t="inlineStr">
        <is>
          <t>2°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Psicoanálisis I (Teoría Freudiana)</t>
        </is>
      </c>
      <c r="B16" s="9" t="inlineStr">
        <is>
          <t>NO</t>
        </is>
      </c>
      <c r="C16" s="9" t="inlineStr">
        <is>
          <t>NO</t>
        </is>
      </c>
      <c r="D16" s="10" t="inlineStr">
        <is>
          <t>2° Año</t>
        </is>
      </c>
      <c r="E16" s="10">
        <f>IF(B16="SI", "REGULAR", "PENDIENTE")</f>
        <v/>
      </c>
      <c r="F16" s="10">
        <f>IF(C16="SI", "APROBADO", IF(B16="SI", "ADEUDA FINAL", "ADEUDA"))</f>
        <v/>
      </c>
      <c r="G16" s="11">
        <f>IF(C16="SI", "🟢 Aprobada", IF(B16="SI", "🟡 Regular", "🟣 Pendiente"))</f>
        <v/>
      </c>
    </row>
    <row r="17" ht="20" customHeight="1">
      <c r="A17" s="8" t="inlineStr">
        <is>
          <t>Psicología Social y Comunitaria</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Didáctica General</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Psicología Educacional</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Sujetos de la Educación</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Estado, Sociedad y Derechos Humanos</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Trabajo de Campo II</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2" customHeight="1">
      <c r="A23" s="7" t="inlineStr">
        <is>
          <t>📌 3° AÑO</t>
        </is>
      </c>
    </row>
    <row r="24" ht="20" customHeight="1">
      <c r="A24" s="8" t="inlineStr">
        <is>
          <t>Psicología del Desarrollo y Ciclos Vitales II (Adultez y Vejez)</t>
        </is>
      </c>
      <c r="B24" s="9" t="inlineStr">
        <is>
          <t>NO</t>
        </is>
      </c>
      <c r="C24" s="9" t="inlineStr">
        <is>
          <t>NO</t>
        </is>
      </c>
      <c r="D24" s="10" t="inlineStr">
        <is>
          <t>3° Año</t>
        </is>
      </c>
      <c r="E24" s="10">
        <f>IF(B24="SI", "REGULAR", "PENDIENTE")</f>
        <v/>
      </c>
      <c r="F24" s="10">
        <f>IF(C24="SI", "APROBADO", IF(B24="SI", "ADEUDA FINAL", "ADEUDA"))</f>
        <v/>
      </c>
      <c r="G24" s="11">
        <f>IF(C24="SI", "🟢 Aprobada", IF(B24="SI", "🟡 Regular", "🟣 Pendiente"))</f>
        <v/>
      </c>
    </row>
    <row r="25" ht="20" customHeight="1">
      <c r="A25" s="8" t="inlineStr">
        <is>
          <t>Psicoanálisis II (Teorías Posfreudianas)</t>
        </is>
      </c>
      <c r="B25" s="9" t="inlineStr">
        <is>
          <t>NO</t>
        </is>
      </c>
      <c r="C25" s="9" t="inlineStr">
        <is>
          <t>NO</t>
        </is>
      </c>
      <c r="D25" s="10" t="inlineStr">
        <is>
          <t>3° Año</t>
        </is>
      </c>
      <c r="E25" s="10">
        <f>IF(B25="SI", "REGULAR", "PENDIENTE")</f>
        <v/>
      </c>
      <c r="F25" s="10">
        <f>IF(C25="SI", "APROBADO", IF(B25="SI", "ADEUDA FINAL", "ADEUDA"))</f>
        <v/>
      </c>
      <c r="G25" s="11">
        <f>IF(C25="SI", "🟢 Aprobada", IF(B25="SI", "🟡 Regular", "🟣 Pendiente"))</f>
        <v/>
      </c>
    </row>
    <row r="26" ht="20" customHeight="1">
      <c r="A26" s="8" t="inlineStr">
        <is>
          <t>Teoría de las Organizaciones y Análisis Institucional</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Psicopatología Infanto-Juvenil y del Adulto</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Técnicas de Exploración y Evaluación Psicológica</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Didáctica de la Enseñanza de la Psicología I</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Historia Social de la Educación</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Construcción de la Práctica Docente I</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2" customHeight="1">
      <c r="A32" s="7" t="inlineStr">
        <is>
          <t>📌 4° AÑO</t>
        </is>
      </c>
    </row>
    <row r="33" ht="20" customHeight="1">
      <c r="A33" s="8" t="inlineStr">
        <is>
          <t>Historia de la Psicología</t>
        </is>
      </c>
      <c r="B33" s="9" t="inlineStr">
        <is>
          <t>NO</t>
        </is>
      </c>
      <c r="C33" s="9" t="inlineStr">
        <is>
          <t>NO</t>
        </is>
      </c>
      <c r="D33" s="10" t="inlineStr">
        <is>
          <t>4° Año</t>
        </is>
      </c>
      <c r="E33" s="10">
        <f>IF(B33="SI", "REGULAR", "PENDIENTE")</f>
        <v/>
      </c>
      <c r="F33" s="10">
        <f>IF(C33="SI", "APROBADO", IF(B33="SI", "ADEUDA FINAL", "ADEUDA"))</f>
        <v/>
      </c>
      <c r="G33" s="11">
        <f>IF(C33="SI", "🟢 Aprobada", IF(B33="SI", "🟡 Regular", "🟣 Pendiente"))</f>
        <v/>
      </c>
    </row>
    <row r="34" ht="20" customHeight="1">
      <c r="A34" s="8" t="inlineStr">
        <is>
          <t>Psicología Institucional y Forense</t>
        </is>
      </c>
      <c r="B34" s="9" t="inlineStr">
        <is>
          <t>NO</t>
        </is>
      </c>
      <c r="C34" s="9" t="inlineStr">
        <is>
          <t>NO</t>
        </is>
      </c>
      <c r="D34" s="10" t="inlineStr">
        <is>
          <t>4° Año</t>
        </is>
      </c>
      <c r="E34" s="10">
        <f>IF(B34="SI", "REGULAR", "PENDIENTE")</f>
        <v/>
      </c>
      <c r="F34" s="10">
        <f>IF(C34="SI", "APROBADO", IF(B34="SI", "ADEUDA FINAL", "ADEUDA"))</f>
        <v/>
      </c>
      <c r="G34" s="11">
        <f>IF(C34="SI", "🟢 Aprobada", IF(B34="SI", "🟡 Regular", "🟣 Pendiente"))</f>
        <v/>
      </c>
    </row>
    <row r="35" ht="20" customHeight="1">
      <c r="A35" s="8" t="inlineStr">
        <is>
          <t>Psicopedagogía y Orientación Vocacional</t>
        </is>
      </c>
      <c r="B35" s="9" t="inlineStr">
        <is>
          <t>NO</t>
        </is>
      </c>
      <c r="C35" s="9" t="inlineStr">
        <is>
          <t>NO</t>
        </is>
      </c>
      <c r="D35" s="10" t="inlineStr">
        <is>
          <t>4° Año</t>
        </is>
      </c>
      <c r="E35" s="10">
        <f>IF(B35="SI", "REGULAR", "PENDIENTE")</f>
        <v/>
      </c>
      <c r="F35" s="10">
        <f>IF(C35="SI", "APROBADO", IF(B35="SI", "ADEUDA FINAL", "ADEUDA"))</f>
        <v/>
      </c>
      <c r="G35" s="11">
        <f>IF(C35="SI", "🟢 Aprobada", IF(B35="SI", "🟡 Regular", "🟣 Pendiente"))</f>
        <v/>
      </c>
    </row>
    <row r="36" ht="20" customHeight="1">
      <c r="A36" s="8" t="inlineStr">
        <is>
          <t>Didáctica de la Enseñanza de la Psicología II</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Educación Sexual Integral (ESI)</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0" customHeight="1">
      <c r="A38" s="8" t="inlineStr">
        <is>
          <t>Ética y Trabajo Docente</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0" customHeight="1">
      <c r="A39" s="8" t="inlineStr">
        <is>
          <t>Residencia y Construcción de la Práctica Docente II</t>
        </is>
      </c>
      <c r="B39" s="9" t="inlineStr">
        <is>
          <t>NO</t>
        </is>
      </c>
      <c r="C39" s="9" t="inlineStr">
        <is>
          <t>NO</t>
        </is>
      </c>
      <c r="D39" s="10" t="inlineStr">
        <is>
          <t>4° Año</t>
        </is>
      </c>
      <c r="E39" s="10">
        <f>IF(B39="SI", "REGULAR", "PENDIENTE")</f>
        <v/>
      </c>
      <c r="F39" s="10">
        <f>IF(C39="SI", "APROBADO", IF(B39="SI", "ADEUDA FINAL", "ADEUDA"))</f>
        <v/>
      </c>
      <c r="G39" s="11">
        <f>IF(C39="SI", "🟢 Aprobada", IF(B39="SI", "🟡 Regular", "🟣 Pendiente"))</f>
        <v/>
      </c>
    </row>
    <row r="40" ht="22" customHeight="1">
      <c r="A40" s="7" t="inlineStr">
        <is>
          <t>📌 TRAMO SUPERIOR / SEMINARIOS</t>
        </is>
      </c>
    </row>
    <row r="41" ht="20" customHeight="1">
      <c r="A41" s="8" t="inlineStr">
        <is>
          <t>Seminario de Psicología Comunitaria e Intervención Social</t>
        </is>
      </c>
      <c r="B41" s="9" t="inlineStr">
        <is>
          <t>NO</t>
        </is>
      </c>
      <c r="C41" s="9" t="inlineStr">
        <is>
          <t>NO</t>
        </is>
      </c>
      <c r="D41" s="10" t="inlineStr">
        <is>
          <t>Tramo Superior / Seminarios</t>
        </is>
      </c>
      <c r="E41" s="10">
        <f>IF(B41="SI", "REGULAR", "PENDIENTE")</f>
        <v/>
      </c>
      <c r="F41" s="10">
        <f>IF(C41="SI", "APROBADO", IF(B41="SI", "ADEUDA FINAL", "ADEUDA"))</f>
        <v/>
      </c>
      <c r="G41" s="11">
        <f>IF(C41="SI", "🟢 Aprobada", IF(B41="SI", "🟡 Regular", "🟣 Pendiente"))</f>
        <v/>
      </c>
    </row>
    <row r="42" ht="20" customHeight="1">
      <c r="A42" s="8" t="inlineStr">
        <is>
          <t>Seminario de Epistemología Psicológica</t>
        </is>
      </c>
      <c r="B42" s="9" t="inlineStr">
        <is>
          <t>NO</t>
        </is>
      </c>
      <c r="C42" s="9" t="inlineStr">
        <is>
          <t>NO</t>
        </is>
      </c>
      <c r="D42" s="10" t="inlineStr">
        <is>
          <t>Tramo Superior / Seminarios</t>
        </is>
      </c>
      <c r="E42" s="10">
        <f>IF(B42="SI", "REGULAR", "PENDIENTE")</f>
        <v/>
      </c>
      <c r="F42" s="10">
        <f>IF(C42="SI", "APROBADO", IF(B42="SI", "ADEUDA FINAL", "ADEUDA"))</f>
        <v/>
      </c>
      <c r="G42" s="11">
        <f>IF(C42="SI", "🟢 Aprobada", IF(B42="SI", "🟡 Regular", "🟣 Pendiente"))</f>
        <v/>
      </c>
    </row>
    <row r="43" ht="20" customHeight="1">
      <c r="A43" s="8" t="inlineStr">
        <is>
          <t>Taller de Investigación en Psicología</t>
        </is>
      </c>
      <c r="B43" s="9" t="inlineStr">
        <is>
          <t>NO</t>
        </is>
      </c>
      <c r="C43" s="9" t="inlineStr">
        <is>
          <t>NO</t>
        </is>
      </c>
      <c r="D43" s="10" t="inlineStr">
        <is>
          <t>Tramo Superior / Seminarios</t>
        </is>
      </c>
      <c r="E43" s="10">
        <f>IF(B43="SI", "REGULAR", "PENDIENTE")</f>
        <v/>
      </c>
      <c r="F43" s="10">
        <f>IF(C43="SI", "APROBADO", IF(B43="SI", "ADEUDA FINAL", "ADEUDA"))</f>
        <v/>
      </c>
      <c r="G43" s="11">
        <f>IF(C43="SI", "🟢 Aprobada", IF(B43="SI", "🟡 Regular", "🟣 Pendiente"))</f>
        <v/>
      </c>
    </row>
  </sheetData>
  <mergeCells count="15">
    <mergeCell ref="A32:G32"/>
    <mergeCell ref="A14:G14"/>
    <mergeCell ref="I12:J12"/>
    <mergeCell ref="A1:G1"/>
    <mergeCell ref="A40:G40"/>
    <mergeCell ref="I15:J15"/>
    <mergeCell ref="I10:J10"/>
    <mergeCell ref="I1:K1"/>
    <mergeCell ref="I11:J11"/>
    <mergeCell ref="A2:G2"/>
    <mergeCell ref="I13:J13"/>
    <mergeCell ref="I14:J14"/>
    <mergeCell ref="I9:J9"/>
    <mergeCell ref="A5:G5"/>
    <mergeCell ref="A23:G23"/>
  </mergeCells>
  <dataValidations count="1">
    <dataValidation sqref="B6 B7 B8 B9 B10 B11 B12 B13 B15 B16 B17 B18 B19 B20 B21 B22 B24 B25 B26 B27 B28 B29 B30 B31 B33 B34 B35 B36 B37 B38 B39 B41 B42 B43 C6 C7 C8 C9 C10 C11 C12 C13 C15 C16 C17 C18 C19 C20 C21 C22 C24 C25 C26 C27 C28 C29 C30 C31 C33 C34 C35 C36 C37 C38 C39 C41 C42 C43"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2026-08-31T01:11:53Z</dcterms:created>
  <dcterms:modified xmlns:dcterms="http://purl.org/dc/terms/" xmlns:xsi="http://www.w3.org/2001/XMLSchema-instance" xsi:type="dcterms:W3CDTF">2026-08-31T01:11:53Z</dcterms:modified>
</cp:coreProperties>
</file>