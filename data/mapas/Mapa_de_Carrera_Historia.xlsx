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HISTORIA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79</v>
      </c>
    </row>
    <row r="5" ht="24" customHeight="1">
      <c r="A5" s="8" t="inlineStr">
        <is>
          <t>HIST. ARGENTINA Y AMERICANA I "A"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COUNTIF(B4:B89, "S*") + COUNTIF(B4:B89, TRUE)</f>
        <v/>
      </c>
    </row>
    <row r="6" ht="24" customHeight="1">
      <c r="A6" s="11" t="inlineStr">
        <is>
          <t>HIST. ARGENTINA Y AMERICANA I "F"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COUNTIF(C4:C89, "S*") + COUNTIF(C4:C89, TRUE)</f>
        <v/>
      </c>
    </row>
    <row r="7" ht="24" customHeight="1">
      <c r="A7" s="8" t="inlineStr">
        <is>
          <t>HISTORIA ARGENTINA Y AMERICANA I "E"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INTROD. A LA HIST. ANTIGUA "F"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J5/79</f>
        <v/>
      </c>
    </row>
    <row r="9" ht="24" customHeight="1">
      <c r="A9" s="8" t="inlineStr">
        <is>
          <t>INTROD. A LA HISTORIA ANTIGUA "E"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J6/79</f>
        <v/>
      </c>
    </row>
    <row r="10" ht="20" customHeight="1">
      <c r="A10" s="11" t="inlineStr">
        <is>
          <t>INTRODUCCION A LA HIST. ANTIGUA "A"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INTRODUCCION A LA HISTORIA "A"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INTRODUCCION A LA HISTORIA "E"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INTRODUCCION A LA HISTORIA "F"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LECTURA, ESCRITURA Y ORALIDAD I "A"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LECTURA, ESCRITURA Y ORALIDAD I "E"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1°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LECTURA, ESCRITURA Y ORALIDAD I "F"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1°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PEDAGOGIA "F"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1°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PEDAGOGIA GENERAL "A"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1°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PEDAGOGIA GENERAL "E"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1°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PREHISTORIA Y ARQUEOLOGIA "F"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1°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PREHISTORIA Y ARQUEOLOGÍA "A"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1°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PREHISTORIA Y ARQUEOLOGÍA "E"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1°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TRABAJO DE CAMPO I "A"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1°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TRABAJO DE CAMPO I "E"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1°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TRABAJO DE CAMPO I "F"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1°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4" customHeight="1">
      <c r="A26" s="5" t="inlineStr">
        <is>
          <t>📌 2° AÑO</t>
        </is>
      </c>
    </row>
    <row r="27" ht="20" customHeight="1">
      <c r="A27" s="8" t="inlineStr">
        <is>
          <t>DIDACTICA GENERAL "A"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2°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DIDACTICA GENERAL "E"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2°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HIST. ARGENTINA Y AMERICANA II "E"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2°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HISTORIA ARGENTINA Y AMERICANA II "A"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2°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HISTORIA DE ESPAÑA "A"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2°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HISTORIA DE ESPAÑA "E"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2°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HISTORIA DE ESPAÑA "G"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2°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HISTORIA DE GRECIA "A"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2°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HISTORIA DE GRECIA "E"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2°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HISTORIA DE ROMA "A"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2°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HISTORIA DE ROMA "E"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2°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LECTURA, ESCRITURA Y ORALIDAD II "A"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2°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LECTURA, ESCRITURA Y ORALIDAD II "E"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2°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TRABAJO DE CAMPO II "A"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2°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TRABAJO DE CAMPO II "E"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2°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4" customHeight="1">
      <c r="A42" s="5" t="inlineStr">
        <is>
          <t>📌 3° AÑO</t>
        </is>
      </c>
    </row>
    <row r="43" ht="20" customHeight="1">
      <c r="A43" s="8" t="inlineStr">
        <is>
          <t>CONST.PRACT.DOC. / ENSEÑANZA DE LA HIST. "A"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3°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HISTORIA ARGENTINA Y AMERICANA III "A"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3°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HISTORIA DE LA EDAD MEDIA "A"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3° Año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HISTORIA DE LA EDAD MODERNA "A"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3° Año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INTRODUCCION A LA GEOGRAFIA "A"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3° Año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INTRODUCCION A LA GEOGRAFIA "F"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3° Año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PSICOLOGIA EDUCACIONAL "A" (1° Cuatrimestre)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3° Año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PSICOLOGIA EDUCACIONAL "F" (1° Cuatrimestre)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3° Año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SUJETO DE NIVEL "G" (1° Cuat)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3° Año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4" customHeight="1">
      <c r="A52" s="5" t="inlineStr">
        <is>
          <t>📌 4° AÑO</t>
        </is>
      </c>
    </row>
    <row r="53" ht="20" customHeight="1">
      <c r="A53" s="8" t="inlineStr">
        <is>
          <t>FILOSOFIA "A"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4° Año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HISTORIA AMERICANA CONTEMPORANEA "A"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4° Año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HISTORIA ARGENTINA CONTEMPORANEA "A"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4° Año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  <row r="56" ht="20" customHeight="1">
      <c r="A56" s="11" t="inlineStr">
        <is>
          <t>HISTORIA CONTEMPORANEA "A"</t>
        </is>
      </c>
      <c r="B56" s="9" t="inlineStr">
        <is>
          <t>NO</t>
        </is>
      </c>
      <c r="C56" s="9" t="inlineStr">
        <is>
          <t>NO</t>
        </is>
      </c>
      <c r="D56" s="12" t="inlineStr">
        <is>
          <t>4° Año</t>
        </is>
      </c>
      <c r="E56" s="9">
        <f>IF(OR(B56="SI",B56="SÍ",B56=TRUE),"REGULAR","PENDIENTE")</f>
        <v/>
      </c>
      <c r="F56" s="9">
        <f>IF(OR(C56="SI",C56="SÍ",C56=TRUE),"APROBADA",IF(OR(B56="SI",B56="SÍ",B56=TRUE),"RINDE FINAL","ADEUDA"))</f>
        <v/>
      </c>
      <c r="G56" s="9">
        <f>IF(OR(C56="SI",C56="SÍ",C56=TRUE),"✅ Aprobada",IF(OR(B56="SI",B56="SÍ",B56=TRUE),"⏳ Cursada (Rinde Final)","⚪ Pendiente"))</f>
        <v/>
      </c>
    </row>
    <row r="57" ht="20" customHeight="1">
      <c r="A57" s="8" t="inlineStr">
        <is>
          <t>PRACT. DOC. II Y RESIDENCIA MEDIA Y SUP.</t>
        </is>
      </c>
      <c r="B57" s="9" t="inlineStr">
        <is>
          <t>NO</t>
        </is>
      </c>
      <c r="C57" s="9" t="inlineStr">
        <is>
          <t>NO</t>
        </is>
      </c>
      <c r="D57" s="10" t="inlineStr">
        <is>
          <t>4° Año</t>
        </is>
      </c>
      <c r="E57" s="9">
        <f>IF(OR(B57="SI",B57="SÍ",B57=TRUE),"REGULAR","PENDIENTE")</f>
        <v/>
      </c>
      <c r="F57" s="9">
        <f>IF(OR(C57="SI",C57="SÍ",C57=TRUE),"APROBADA",IF(OR(B57="SI",B57="SÍ",B57=TRUE),"RINDE FINAL","ADEUDA"))</f>
        <v/>
      </c>
      <c r="G57" s="9">
        <f>IF(OR(C57="SI",C57="SÍ",C57=TRUE),"✅ Aprobada",IF(OR(B57="SI",B57="SÍ",B57=TRUE),"⏳ Cursada (Rinde Final)","⚪ Pendiente"))</f>
        <v/>
      </c>
    </row>
    <row r="58" ht="20" customHeight="1">
      <c r="A58" s="11" t="inlineStr">
        <is>
          <t>SEMINARIO DE METOD. INVEST / RESIDENCIA "A"</t>
        </is>
      </c>
      <c r="B58" s="9" t="inlineStr">
        <is>
          <t>NO</t>
        </is>
      </c>
      <c r="C58" s="9" t="inlineStr">
        <is>
          <t>NO</t>
        </is>
      </c>
      <c r="D58" s="12" t="inlineStr">
        <is>
          <t>4° Año</t>
        </is>
      </c>
      <c r="E58" s="9">
        <f>IF(OR(B58="SI",B58="SÍ",B58=TRUE),"REGULAR","PENDIENTE")</f>
        <v/>
      </c>
      <c r="F58" s="9">
        <f>IF(OR(C58="SI",C58="SÍ",C58=TRUE),"APROBADA",IF(OR(B58="SI",B58="SÍ",B58=TRUE),"RINDE FINAL","ADEUDA"))</f>
        <v/>
      </c>
      <c r="G58" s="9">
        <f>IF(OR(C58="SI",C58="SÍ",C58=TRUE),"✅ Aprobada",IF(OR(B58="SI",B58="SÍ",B58=TRUE),"⏳ Cursada (Rinde Final)","⚪ Pendiente"))</f>
        <v/>
      </c>
    </row>
    <row r="59" ht="24" customHeight="1">
      <c r="A59" s="5" t="inlineStr">
        <is>
          <t>📌 5° AÑO (NIVEL SUPERIOR / TRAMO SUPERIOR)</t>
        </is>
      </c>
    </row>
    <row r="60" ht="20" customHeight="1">
      <c r="A60" s="11" t="inlineStr">
        <is>
          <t>DD.HH., SOCIEDAD Y ESTADO "A"</t>
        </is>
      </c>
      <c r="B60" s="9" t="inlineStr">
        <is>
          <t>NO</t>
        </is>
      </c>
      <c r="C60" s="9" t="inlineStr">
        <is>
          <t>NO</t>
        </is>
      </c>
      <c r="D60" s="12" t="inlineStr">
        <is>
          <t>5° Año (Nivel Superior / Tramo Superior)</t>
        </is>
      </c>
      <c r="E60" s="9">
        <f>IF(OR(B60="SI",B60="SÍ",B60=TRUE),"REGULAR","PENDIENTE")</f>
        <v/>
      </c>
      <c r="F60" s="9">
        <f>IF(OR(C60="SI",C60="SÍ",C60=TRUE),"APROBADA",IF(OR(B60="SI",B60="SÍ",B60=TRUE),"RINDE FINAL","ADEUDA"))</f>
        <v/>
      </c>
      <c r="G60" s="9">
        <f>IF(OR(C60="SI",C60="SÍ",C60=TRUE),"✅ Aprobada",IF(OR(B60="SI",B60="SÍ",B60=TRUE),"⏳ Cursada (Rinde Final)","⚪ Pendiente"))</f>
        <v/>
      </c>
    </row>
    <row r="61" ht="20" customHeight="1">
      <c r="A61" s="8" t="inlineStr">
        <is>
          <t>EDUCACION SEXUAL INTEGRAL "A" (cuatrim.)</t>
        </is>
      </c>
      <c r="B61" s="9" t="inlineStr">
        <is>
          <t>NO</t>
        </is>
      </c>
      <c r="C61" s="9" t="inlineStr">
        <is>
          <t>NO</t>
        </is>
      </c>
      <c r="D61" s="10" t="inlineStr">
        <is>
          <t>5° Año (Nivel Superior / Tramo Superior)</t>
        </is>
      </c>
      <c r="E61" s="9">
        <f>IF(OR(B61="SI",B61="SÍ",B61=TRUE),"REGULAR","PENDIENTE")</f>
        <v/>
      </c>
      <c r="F61" s="9">
        <f>IF(OR(C61="SI",C61="SÍ",C61=TRUE),"APROBADA",IF(OR(B61="SI",B61="SÍ",B61=TRUE),"RINDE FINAL","ADEUDA"))</f>
        <v/>
      </c>
      <c r="G61" s="9">
        <f>IF(OR(C61="SI",C61="SÍ",C61=TRUE),"✅ Aprobada",IF(OR(B61="SI",B61="SÍ",B61=TRUE),"⏳ Cursada (Rinde Final)","⚪ Pendiente"))</f>
        <v/>
      </c>
    </row>
    <row r="62" ht="20" customHeight="1">
      <c r="A62" s="11" t="inlineStr">
        <is>
          <t>HISTORIA DE LA EDUCACION ARGENTINA "A"</t>
        </is>
      </c>
      <c r="B62" s="9" t="inlineStr">
        <is>
          <t>NO</t>
        </is>
      </c>
      <c r="C62" s="9" t="inlineStr">
        <is>
          <t>NO</t>
        </is>
      </c>
      <c r="D62" s="12" t="inlineStr">
        <is>
          <t>5° Año (Nivel Superior / Tramo Superior)</t>
        </is>
      </c>
      <c r="E62" s="9">
        <f>IF(OR(B62="SI",B62="SÍ",B62=TRUE),"REGULAR","PENDIENTE")</f>
        <v/>
      </c>
      <c r="F62" s="9">
        <f>IF(OR(C62="SI",C62="SÍ",C62=TRUE),"APROBADA",IF(OR(B62="SI",B62="SÍ",B62=TRUE),"RINDE FINAL","ADEUDA"))</f>
        <v/>
      </c>
      <c r="G62" s="9">
        <f>IF(OR(C62="SI",C62="SÍ",C62=TRUE),"✅ Aprobada",IF(OR(B62="SI",B62="SÍ",B62=TRUE),"⏳ Cursada (Rinde Final)","⚪ Pendiente"))</f>
        <v/>
      </c>
    </row>
    <row r="63" ht="20" customHeight="1">
      <c r="A63" s="8" t="inlineStr">
        <is>
          <t>HISTORIA DEL ARTE "A"</t>
        </is>
      </c>
      <c r="B63" s="9" t="inlineStr">
        <is>
          <t>NO</t>
        </is>
      </c>
      <c r="C63" s="9" t="inlineStr">
        <is>
          <t>NO</t>
        </is>
      </c>
      <c r="D63" s="10" t="inlineStr">
        <is>
          <t>5° Año (Nivel Superior / Tramo Superior)</t>
        </is>
      </c>
      <c r="E63" s="9">
        <f>IF(OR(B63="SI",B63="SÍ",B63=TRUE),"REGULAR","PENDIENTE")</f>
        <v/>
      </c>
      <c r="F63" s="9">
        <f>IF(OR(C63="SI",C63="SÍ",C63=TRUE),"APROBADA",IF(OR(B63="SI",B63="SÍ",B63=TRUE),"RINDE FINAL","ADEUDA"))</f>
        <v/>
      </c>
      <c r="G63" s="9">
        <f>IF(OR(C63="SI",C63="SÍ",C63=TRUE),"✅ Aprobada",IF(OR(B63="SI",B63="SÍ",B63=TRUE),"⏳ Cursada (Rinde Final)","⚪ Pendiente"))</f>
        <v/>
      </c>
    </row>
    <row r="64" ht="20" customHeight="1">
      <c r="A64" s="11" t="inlineStr">
        <is>
          <t>LENGUA EXTRANJERA A (CUATRIMESTRAL)</t>
        </is>
      </c>
      <c r="B64" s="9" t="inlineStr">
        <is>
          <t>NO</t>
        </is>
      </c>
      <c r="C64" s="9" t="inlineStr">
        <is>
          <t>NO</t>
        </is>
      </c>
      <c r="D64" s="12" t="inlineStr">
        <is>
          <t>5° Año (Nivel Superior / Tramo Superior)</t>
        </is>
      </c>
      <c r="E64" s="9">
        <f>IF(OR(B64="SI",B64="SÍ",B64=TRUE),"REGULAR","PENDIENTE")</f>
        <v/>
      </c>
      <c r="F64" s="9">
        <f>IF(OR(C64="SI",C64="SÍ",C64=TRUE),"APROBADA",IF(OR(B64="SI",B64="SÍ",B64=TRUE),"RINDE FINAL","ADEUDA"))</f>
        <v/>
      </c>
      <c r="G64" s="9">
        <f>IF(OR(C64="SI",C64="SÍ",C64=TRUE),"✅ Aprobada",IF(OR(B64="SI",B64="SÍ",B64=TRUE),"⏳ Cursada (Rinde Final)","⚪ Pendiente"))</f>
        <v/>
      </c>
    </row>
    <row r="65" ht="20" customHeight="1">
      <c r="A65" s="8" t="inlineStr">
        <is>
          <t>SISTEMA Y POLITICA "A" (CUATRIMESTRAL)</t>
        </is>
      </c>
      <c r="B65" s="9" t="inlineStr">
        <is>
          <t>NO</t>
        </is>
      </c>
      <c r="C65" s="9" t="inlineStr">
        <is>
          <t>NO</t>
        </is>
      </c>
      <c r="D65" s="10" t="inlineStr">
        <is>
          <t>5° Año (Nivel Superior / Tramo Superior)</t>
        </is>
      </c>
      <c r="E65" s="9">
        <f>IF(OR(B65="SI",B65="SÍ",B65=TRUE),"REGULAR","PENDIENTE")</f>
        <v/>
      </c>
      <c r="F65" s="9">
        <f>IF(OR(C65="SI",C65="SÍ",C65=TRUE),"APROBADA",IF(OR(B65="SI",B65="SÍ",B65=TRUE),"RINDE FINAL","ADEUDA"))</f>
        <v/>
      </c>
      <c r="G65" s="9">
        <f>IF(OR(C65="SI",C65="SÍ",C65=TRUE),"✅ Aprobada",IF(OR(B65="SI",B65="SÍ",B65=TRUE),"⏳ Cursada (Rinde Final)","⚪ Pendiente"))</f>
        <v/>
      </c>
    </row>
    <row r="66" ht="20" customHeight="1">
      <c r="A66" s="11" t="inlineStr">
        <is>
          <t>TEORIA E HISTORIA DE LA HISTORIOG. "A"</t>
        </is>
      </c>
      <c r="B66" s="9" t="inlineStr">
        <is>
          <t>NO</t>
        </is>
      </c>
      <c r="C66" s="9" t="inlineStr">
        <is>
          <t>NO</t>
        </is>
      </c>
      <c r="D66" s="12" t="inlineStr">
        <is>
          <t>5° Año (Nivel Superior / Tramo Superior)</t>
        </is>
      </c>
      <c r="E66" s="9">
        <f>IF(OR(B66="SI",B66="SÍ",B66=TRUE),"REGULAR","PENDIENTE")</f>
        <v/>
      </c>
      <c r="F66" s="9">
        <f>IF(OR(C66="SI",C66="SÍ",C66=TRUE),"APROBADA",IF(OR(B66="SI",B66="SÍ",B66=TRUE),"RINDE FINAL","ADEUDA"))</f>
        <v/>
      </c>
      <c r="G66" s="9">
        <f>IF(OR(C66="SI",C66="SÍ",C66=TRUE),"✅ Aprobada",IF(OR(B66="SI",B66="SÍ",B66=TRUE),"⏳ Cursada (Rinde Final)","⚪ Pendiente"))</f>
        <v/>
      </c>
    </row>
    <row r="67" ht="24" customHeight="1">
      <c r="A67" s="5" t="inlineStr">
        <is>
          <t>📌 6° AÑO (NIVEL SUPERIOR / TRAMO SUPERIOR)</t>
        </is>
      </c>
    </row>
    <row r="68" ht="20" customHeight="1">
      <c r="A68" s="11" t="inlineStr">
        <is>
          <t>Seminario de Especialización Superior II</t>
        </is>
      </c>
      <c r="B68" s="9" t="inlineStr">
        <is>
          <t>NO</t>
        </is>
      </c>
      <c r="C68" s="9" t="inlineStr">
        <is>
          <t>NO</t>
        </is>
      </c>
      <c r="D68" s="12" t="inlineStr">
        <is>
          <t>6° Año (Nivel Superior / Tramo Superior)</t>
        </is>
      </c>
      <c r="E68" s="9">
        <f>IF(OR(B68="SI",B68="SÍ",B68=TRUE),"REGULAR","PENDIENTE")</f>
        <v/>
      </c>
      <c r="F68" s="9">
        <f>IF(OR(C68="SI",C68="SÍ",C68=TRUE),"APROBADA",IF(OR(B68="SI",B68="SÍ",B68=TRUE),"RINDE FINAL","ADEUDA"))</f>
        <v/>
      </c>
      <c r="G68" s="9">
        <f>IF(OR(C68="SI",C68="SÍ",C68=TRUE),"✅ Aprobada",IF(OR(B68="SI",B68="SÍ",B68=TRUE),"⏳ Cursada (Rinde Final)","⚪ Pendiente"))</f>
        <v/>
      </c>
    </row>
    <row r="69" ht="20" customHeight="1">
      <c r="A69" s="8" t="inlineStr">
        <is>
          <t>Tesis / Trabajo Final de Licenciatura</t>
        </is>
      </c>
      <c r="B69" s="9" t="inlineStr">
        <is>
          <t>NO</t>
        </is>
      </c>
      <c r="C69" s="9" t="inlineStr">
        <is>
          <t>NO</t>
        </is>
      </c>
      <c r="D69" s="10" t="inlineStr">
        <is>
          <t>6° Año (Nivel Superior / Tramo Superior)</t>
        </is>
      </c>
      <c r="E69" s="9">
        <f>IF(OR(B69="SI",B69="SÍ",B69=TRUE),"REGULAR","PENDIENTE")</f>
        <v/>
      </c>
      <c r="F69" s="9">
        <f>IF(OR(C69="SI",C69="SÍ",C69=TRUE),"APROBADA",IF(OR(B69="SI",B69="SÍ",B69=TRUE),"RINDE FINAL","ADEUDA"))</f>
        <v/>
      </c>
      <c r="G69" s="9">
        <f>IF(OR(C69="SI",C69="SÍ",C69=TRUE),"✅ Aprobada",IF(OR(B69="SI",B69="SÍ",B69=TRUE),"⏳ Cursada (Rinde Final)","⚪ Pendiente"))</f>
        <v/>
      </c>
    </row>
    <row r="70" ht="20" customHeight="1">
      <c r="A70" s="11" t="inlineStr">
        <is>
          <t>Práctica de Nivel Superior II</t>
        </is>
      </c>
      <c r="B70" s="9" t="inlineStr">
        <is>
          <t>NO</t>
        </is>
      </c>
      <c r="C70" s="9" t="inlineStr">
        <is>
          <t>NO</t>
        </is>
      </c>
      <c r="D70" s="12" t="inlineStr">
        <is>
          <t>6° Año (Nivel Superior / Tramo Superior)</t>
        </is>
      </c>
      <c r="E70" s="9">
        <f>IF(OR(B70="SI",B70="SÍ",B70=TRUE),"REGULAR","PENDIENTE")</f>
        <v/>
      </c>
      <c r="F70" s="9">
        <f>IF(OR(C70="SI",C70="SÍ",C70=TRUE),"APROBADA",IF(OR(B70="SI",B70="SÍ",B70=TRUE),"RINDE FINAL","ADEUDA"))</f>
        <v/>
      </c>
      <c r="G70" s="9">
        <f>IF(OR(C70="SI",C70="SÍ",C70=TRUE),"✅ Aprobada",IF(OR(B70="SI",B70="SÍ",B70=TRUE),"⏳ Cursada (Rinde Final)","⚪ Pendiente"))</f>
        <v/>
      </c>
    </row>
    <row r="71" ht="20" customHeight="1">
      <c r="A71" s="8" t="inlineStr">
        <is>
          <t>Acreditación de Residencia Superior</t>
        </is>
      </c>
      <c r="B71" s="9" t="inlineStr">
        <is>
          <t>NO</t>
        </is>
      </c>
      <c r="C71" s="9" t="inlineStr">
        <is>
          <t>NO</t>
        </is>
      </c>
      <c r="D71" s="10" t="inlineStr">
        <is>
          <t>6° Año (Nivel Superior / Tramo Superior)</t>
        </is>
      </c>
      <c r="E71" s="9">
        <f>IF(OR(B71="SI",B71="SÍ",B71=TRUE),"REGULAR","PENDIENTE")</f>
        <v/>
      </c>
      <c r="F71" s="9">
        <f>IF(OR(C71="SI",C71="SÍ",C71=TRUE),"APROBADA",IF(OR(B71="SI",B71="SÍ",B71=TRUE),"RINDE FINAL","ADEUDA"))</f>
        <v/>
      </c>
      <c r="G71" s="9">
        <f>IF(OR(C71="SI",C71="SÍ",C71=TRUE),"✅ Aprobada",IF(OR(B71="SI",B71="SÍ",B71=TRUE),"⏳ Cursada (Rinde Final)","⚪ Pendiente"))</f>
        <v/>
      </c>
    </row>
    <row r="72" ht="24" customHeight="1">
      <c r="A72" s="5" t="inlineStr">
        <is>
          <t>📌 GENERAL / OPTATIVAS</t>
        </is>
      </c>
    </row>
    <row r="73" ht="20" customHeight="1">
      <c r="A73" s="8" t="inlineStr">
        <is>
          <t>DIDACTICA GENERAL</t>
        </is>
      </c>
      <c r="B73" s="9" t="inlineStr">
        <is>
          <t>NO</t>
        </is>
      </c>
      <c r="C73" s="9" t="inlineStr">
        <is>
          <t>NO</t>
        </is>
      </c>
      <c r="D73" s="10" t="inlineStr">
        <is>
          <t>General / Optativas</t>
        </is>
      </c>
      <c r="E73" s="9">
        <f>IF(OR(B73="SI",B73="SÍ",B73=TRUE),"REGULAR","PENDIENTE")</f>
        <v/>
      </c>
      <c r="F73" s="9">
        <f>IF(OR(C73="SI",C73="SÍ",C73=TRUE),"APROBADA",IF(OR(B73="SI",B73="SÍ",B73=TRUE),"RINDE FINAL","ADEUDA"))</f>
        <v/>
      </c>
      <c r="G73" s="9">
        <f>IF(OR(C73="SI",C73="SÍ",C73=TRUE),"✅ Aprobada",IF(OR(B73="SI",B73="SÍ",B73=TRUE),"⏳ Cursada (Rinde Final)","⚪ Pendiente"))</f>
        <v/>
      </c>
    </row>
    <row r="74" ht="20" customHeight="1">
      <c r="A74" s="11" t="inlineStr">
        <is>
          <t>HISTORIA ARGENTINA CONTEMPORANEA</t>
        </is>
      </c>
      <c r="B74" s="9" t="inlineStr">
        <is>
          <t>NO</t>
        </is>
      </c>
      <c r="C74" s="9" t="inlineStr">
        <is>
          <t>NO</t>
        </is>
      </c>
      <c r="D74" s="12" t="inlineStr">
        <is>
          <t>General / Optativas</t>
        </is>
      </c>
      <c r="E74" s="9">
        <f>IF(OR(B74="SI",B74="SÍ",B74=TRUE),"REGULAR","PENDIENTE")</f>
        <v/>
      </c>
      <c r="F74" s="9">
        <f>IF(OR(C74="SI",C74="SÍ",C74=TRUE),"APROBADA",IF(OR(B74="SI",B74="SÍ",B74=TRUE),"RINDE FINAL","ADEUDA"))</f>
        <v/>
      </c>
      <c r="G74" s="9">
        <f>IF(OR(C74="SI",C74="SÍ",C74=TRUE),"✅ Aprobada",IF(OR(B74="SI",B74="SÍ",B74=TRUE),"⏳ Cursada (Rinde Final)","⚪ Pendiente"))</f>
        <v/>
      </c>
    </row>
    <row r="75" ht="20" customHeight="1">
      <c r="A75" s="8" t="inlineStr">
        <is>
          <t>HISTORIA ARGENTINA Y AMERICANA II</t>
        </is>
      </c>
      <c r="B75" s="9" t="inlineStr">
        <is>
          <t>NO</t>
        </is>
      </c>
      <c r="C75" s="9" t="inlineStr">
        <is>
          <t>NO</t>
        </is>
      </c>
      <c r="D75" s="10" t="inlineStr">
        <is>
          <t>General / Optativas</t>
        </is>
      </c>
      <c r="E75" s="9">
        <f>IF(OR(B75="SI",B75="SÍ",B75=TRUE),"REGULAR","PENDIENTE")</f>
        <v/>
      </c>
      <c r="F75" s="9">
        <f>IF(OR(C75="SI",C75="SÍ",C75=TRUE),"APROBADA",IF(OR(B75="SI",B75="SÍ",B75=TRUE),"RINDE FINAL","ADEUDA"))</f>
        <v/>
      </c>
      <c r="G75" s="9">
        <f>IF(OR(C75="SI",C75="SÍ",C75=TRUE),"✅ Aprobada",IF(OR(B75="SI",B75="SÍ",B75=TRUE),"⏳ Cursada (Rinde Final)","⚪ Pendiente"))</f>
        <v/>
      </c>
    </row>
    <row r="76" ht="20" customHeight="1">
      <c r="A76" s="11" t="inlineStr">
        <is>
          <t>HISTORIA ARGENTINA Y AMERICANA III</t>
        </is>
      </c>
      <c r="B76" s="9" t="inlineStr">
        <is>
          <t>NO</t>
        </is>
      </c>
      <c r="C76" s="9" t="inlineStr">
        <is>
          <t>NO</t>
        </is>
      </c>
      <c r="D76" s="12" t="inlineStr">
        <is>
          <t>General / Optativas</t>
        </is>
      </c>
      <c r="E76" s="9">
        <f>IF(OR(B76="SI",B76="SÍ",B76=TRUE),"REGULAR","PENDIENTE")</f>
        <v/>
      </c>
      <c r="F76" s="9">
        <f>IF(OR(C76="SI",C76="SÍ",C76=TRUE),"APROBADA",IF(OR(B76="SI",B76="SÍ",B76=TRUE),"RINDE FINAL","ADEUDA"))</f>
        <v/>
      </c>
      <c r="G76" s="9">
        <f>IF(OR(C76="SI",C76="SÍ",C76=TRUE),"✅ Aprobada",IF(OR(B76="SI",B76="SÍ",B76=TRUE),"⏳ Cursada (Rinde Final)","⚪ Pendiente"))</f>
        <v/>
      </c>
    </row>
    <row r="77" ht="20" customHeight="1">
      <c r="A77" s="8" t="inlineStr">
        <is>
          <t>HISTORIA CONTEMPORANEA</t>
        </is>
      </c>
      <c r="B77" s="9" t="inlineStr">
        <is>
          <t>NO</t>
        </is>
      </c>
      <c r="C77" s="9" t="inlineStr">
        <is>
          <t>NO</t>
        </is>
      </c>
      <c r="D77" s="10" t="inlineStr">
        <is>
          <t>General / Optativas</t>
        </is>
      </c>
      <c r="E77" s="9">
        <f>IF(OR(B77="SI",B77="SÍ",B77=TRUE),"REGULAR","PENDIENTE")</f>
        <v/>
      </c>
      <c r="F77" s="9">
        <f>IF(OR(C77="SI",C77="SÍ",C77=TRUE),"APROBADA",IF(OR(B77="SI",B77="SÍ",B77=TRUE),"RINDE FINAL","ADEUDA"))</f>
        <v/>
      </c>
      <c r="G77" s="9">
        <f>IF(OR(C77="SI",C77="SÍ",C77=TRUE),"✅ Aprobada",IF(OR(B77="SI",B77="SÍ",B77=TRUE),"⏳ Cursada (Rinde Final)","⚪ Pendiente"))</f>
        <v/>
      </c>
    </row>
    <row r="78" ht="20" customHeight="1">
      <c r="A78" s="11" t="inlineStr">
        <is>
          <t>HISTORIA DE AFRICA</t>
        </is>
      </c>
      <c r="B78" s="9" t="inlineStr">
        <is>
          <t>NO</t>
        </is>
      </c>
      <c r="C78" s="9" t="inlineStr">
        <is>
          <t>NO</t>
        </is>
      </c>
      <c r="D78" s="12" t="inlineStr">
        <is>
          <t>General / Optativas</t>
        </is>
      </c>
      <c r="E78" s="9">
        <f>IF(OR(B78="SI",B78="SÍ",B78=TRUE),"REGULAR","PENDIENTE")</f>
        <v/>
      </c>
      <c r="F78" s="9">
        <f>IF(OR(C78="SI",C78="SÍ",C78=TRUE),"APROBADA",IF(OR(B78="SI",B78="SÍ",B78=TRUE),"RINDE FINAL","ADEUDA"))</f>
        <v/>
      </c>
      <c r="G78" s="9">
        <f>IF(OR(C78="SI",C78="SÍ",C78=TRUE),"✅ Aprobada",IF(OR(B78="SI",B78="SÍ",B78=TRUE),"⏳ Cursada (Rinde Final)","⚪ Pendiente"))</f>
        <v/>
      </c>
    </row>
    <row r="79" ht="20" customHeight="1">
      <c r="A79" s="8" t="inlineStr">
        <is>
          <t>HISTORIA DE ASIA</t>
        </is>
      </c>
      <c r="B79" s="9" t="inlineStr">
        <is>
          <t>NO</t>
        </is>
      </c>
      <c r="C79" s="9" t="inlineStr">
        <is>
          <t>NO</t>
        </is>
      </c>
      <c r="D79" s="10" t="inlineStr">
        <is>
          <t>General / Optativas</t>
        </is>
      </c>
      <c r="E79" s="9">
        <f>IF(OR(B79="SI",B79="SÍ",B79=TRUE),"REGULAR","PENDIENTE")</f>
        <v/>
      </c>
      <c r="F79" s="9">
        <f>IF(OR(C79="SI",C79="SÍ",C79=TRUE),"APROBADA",IF(OR(B79="SI",B79="SÍ",B79=TRUE),"RINDE FINAL","ADEUDA"))</f>
        <v/>
      </c>
      <c r="G79" s="9">
        <f>IF(OR(C79="SI",C79="SÍ",C79=TRUE),"✅ Aprobada",IF(OR(B79="SI",B79="SÍ",B79=TRUE),"⏳ Cursada (Rinde Final)","⚪ Pendiente"))</f>
        <v/>
      </c>
    </row>
    <row r="80" ht="20" customHeight="1">
      <c r="A80" s="11" t="inlineStr">
        <is>
          <t>HISTORIA DE LA EDAD MEDIA Y TP</t>
        </is>
      </c>
      <c r="B80" s="9" t="inlineStr">
        <is>
          <t>NO</t>
        </is>
      </c>
      <c r="C80" s="9" t="inlineStr">
        <is>
          <t>NO</t>
        </is>
      </c>
      <c r="D80" s="12" t="inlineStr">
        <is>
          <t>General / Optativas</t>
        </is>
      </c>
      <c r="E80" s="9">
        <f>IF(OR(B80="SI",B80="SÍ",B80=TRUE),"REGULAR","PENDIENTE")</f>
        <v/>
      </c>
      <c r="F80" s="9">
        <f>IF(OR(C80="SI",C80="SÍ",C80=TRUE),"APROBADA",IF(OR(B80="SI",B80="SÍ",B80=TRUE),"RINDE FINAL","ADEUDA"))</f>
        <v/>
      </c>
      <c r="G80" s="9">
        <f>IF(OR(C80="SI",C80="SÍ",C80=TRUE),"✅ Aprobada",IF(OR(B80="SI",B80="SÍ",B80=TRUE),"⏳ Cursada (Rinde Final)","⚪ Pendiente"))</f>
        <v/>
      </c>
    </row>
    <row r="81" ht="20" customHeight="1">
      <c r="A81" s="8" t="inlineStr">
        <is>
          <t>HISTORIA DE LA EDUCACION ARGENTINA</t>
        </is>
      </c>
      <c r="B81" s="9" t="inlineStr">
        <is>
          <t>NO</t>
        </is>
      </c>
      <c r="C81" s="9" t="inlineStr">
        <is>
          <t>NO</t>
        </is>
      </c>
      <c r="D81" s="10" t="inlineStr">
        <is>
          <t>General / Optativas</t>
        </is>
      </c>
      <c r="E81" s="9">
        <f>IF(OR(B81="SI",B81="SÍ",B81=TRUE),"REGULAR","PENDIENTE")</f>
        <v/>
      </c>
      <c r="F81" s="9">
        <f>IF(OR(C81="SI",C81="SÍ",C81=TRUE),"APROBADA",IF(OR(B81="SI",B81="SÍ",B81=TRUE),"RINDE FINAL","ADEUDA"))</f>
        <v/>
      </c>
      <c r="G81" s="9">
        <f>IF(OR(C81="SI",C81="SÍ",C81=TRUE),"✅ Aprobada",IF(OR(B81="SI",B81="SÍ",B81=TRUE),"⏳ Cursada (Rinde Final)","⚪ Pendiente"))</f>
        <v/>
      </c>
    </row>
    <row r="82" ht="20" customHeight="1">
      <c r="A82" s="11" t="inlineStr">
        <is>
          <t>HISTORIA DEL ARTE</t>
        </is>
      </c>
      <c r="B82" s="9" t="inlineStr">
        <is>
          <t>NO</t>
        </is>
      </c>
      <c r="C82" s="9" t="inlineStr">
        <is>
          <t>NO</t>
        </is>
      </c>
      <c r="D82" s="12" t="inlineStr">
        <is>
          <t>General / Optativas</t>
        </is>
      </c>
      <c r="E82" s="9">
        <f>IF(OR(B82="SI",B82="SÍ",B82=TRUE),"REGULAR","PENDIENTE")</f>
        <v/>
      </c>
      <c r="F82" s="9">
        <f>IF(OR(C82="SI",C82="SÍ",C82=TRUE),"APROBADA",IF(OR(B82="SI",B82="SÍ",B82=TRUE),"RINDE FINAL","ADEUDA"))</f>
        <v/>
      </c>
      <c r="G82" s="9">
        <f>IF(OR(C82="SI",C82="SÍ",C82=TRUE),"✅ Aprobada",IF(OR(B82="SI",B82="SÍ",B82=TRUE),"⏳ Cursada (Rinde Final)","⚪ Pendiente"))</f>
        <v/>
      </c>
    </row>
    <row r="83" ht="20" customHeight="1">
      <c r="A83" s="8" t="inlineStr">
        <is>
          <t>INTRODUCCION A LA HISTORIA ANTIGUA H</t>
        </is>
      </c>
      <c r="B83" s="9" t="inlineStr">
        <is>
          <t>NO</t>
        </is>
      </c>
      <c r="C83" s="9" t="inlineStr">
        <is>
          <t>NO</t>
        </is>
      </c>
      <c r="D83" s="10" t="inlineStr">
        <is>
          <t>General / Optativas</t>
        </is>
      </c>
      <c r="E83" s="9">
        <f>IF(OR(B83="SI",B83="SÍ",B83=TRUE),"REGULAR","PENDIENTE")</f>
        <v/>
      </c>
      <c r="F83" s="9">
        <f>IF(OR(C83="SI",C83="SÍ",C83=TRUE),"APROBADA",IF(OR(B83="SI",B83="SÍ",B83=TRUE),"RINDE FINAL","ADEUDA"))</f>
        <v/>
      </c>
      <c r="G83" s="9">
        <f>IF(OR(C83="SI",C83="SÍ",C83=TRUE),"✅ Aprobada",IF(OR(B83="SI",B83="SÍ",B83=TRUE),"⏳ Cursada (Rinde Final)","⚪ Pendiente"))</f>
        <v/>
      </c>
    </row>
    <row r="84" ht="20" customHeight="1">
      <c r="A84" s="11" t="inlineStr">
        <is>
          <t>INTRODUCCION A LA HISTORIA Y TP</t>
        </is>
      </c>
      <c r="B84" s="9" t="inlineStr">
        <is>
          <t>NO</t>
        </is>
      </c>
      <c r="C84" s="9" t="inlineStr">
        <is>
          <t>NO</t>
        </is>
      </c>
      <c r="D84" s="12" t="inlineStr">
        <is>
          <t>General / Optativas</t>
        </is>
      </c>
      <c r="E84" s="9">
        <f>IF(OR(B84="SI",B84="SÍ",B84=TRUE),"REGULAR","PENDIENTE")</f>
        <v/>
      </c>
      <c r="F84" s="9">
        <f>IF(OR(C84="SI",C84="SÍ",C84=TRUE),"APROBADA",IF(OR(B84="SI",B84="SÍ",B84=TRUE),"RINDE FINAL","ADEUDA"))</f>
        <v/>
      </c>
      <c r="G84" s="9">
        <f>IF(OR(C84="SI",C84="SÍ",C84=TRUE),"✅ Aprobada",IF(OR(B84="SI",B84="SÍ",B84=TRUE),"⏳ Cursada (Rinde Final)","⚪ Pendiente"))</f>
        <v/>
      </c>
    </row>
    <row r="85" ht="20" customHeight="1">
      <c r="A85" s="8" t="inlineStr">
        <is>
          <t>PEDAGOGIA</t>
        </is>
      </c>
      <c r="B85" s="9" t="inlineStr">
        <is>
          <t>NO</t>
        </is>
      </c>
      <c r="C85" s="9" t="inlineStr">
        <is>
          <t>NO</t>
        </is>
      </c>
      <c r="D85" s="10" t="inlineStr">
        <is>
          <t>General / Optativas</t>
        </is>
      </c>
      <c r="E85" s="9">
        <f>IF(OR(B85="SI",B85="SÍ",B85=TRUE),"REGULAR","PENDIENTE")</f>
        <v/>
      </c>
      <c r="F85" s="9">
        <f>IF(OR(C85="SI",C85="SÍ",C85=TRUE),"APROBADA",IF(OR(B85="SI",B85="SÍ",B85=TRUE),"RINDE FINAL","ADEUDA"))</f>
        <v/>
      </c>
      <c r="G85" s="9">
        <f>IF(OR(C85="SI",C85="SÍ",C85=TRUE),"✅ Aprobada",IF(OR(B85="SI",B85="SÍ",B85=TRUE),"⏳ Cursada (Rinde Final)","⚪ Pendiente"))</f>
        <v/>
      </c>
    </row>
    <row r="86" ht="20" customHeight="1">
      <c r="A86" s="11" t="inlineStr">
        <is>
          <t>SEMINARIO DE MET. DE LA INVESTIGACION</t>
        </is>
      </c>
      <c r="B86" s="9" t="inlineStr">
        <is>
          <t>NO</t>
        </is>
      </c>
      <c r="C86" s="9" t="inlineStr">
        <is>
          <t>NO</t>
        </is>
      </c>
      <c r="D86" s="12" t="inlineStr">
        <is>
          <t>General / Optativas</t>
        </is>
      </c>
      <c r="E86" s="9">
        <f>IF(OR(B86="SI",B86="SÍ",B86=TRUE),"REGULAR","PENDIENTE")</f>
        <v/>
      </c>
      <c r="F86" s="9">
        <f>IF(OR(C86="SI",C86="SÍ",C86=TRUE),"APROBADA",IF(OR(B86="SI",B86="SÍ",B86=TRUE),"RINDE FINAL","ADEUDA"))</f>
        <v/>
      </c>
      <c r="G86" s="9">
        <f>IF(OR(C86="SI",C86="SÍ",C86=TRUE),"✅ Aprobada",IF(OR(B86="SI",B86="SÍ",B86=TRUE),"⏳ Cursada (Rinde Final)","⚪ Pendiente"))</f>
        <v/>
      </c>
    </row>
    <row r="87" ht="20" customHeight="1">
      <c r="A87" s="8" t="inlineStr">
        <is>
          <t>SEMINARIO OPT. I: "HIST. MUJERES Y GENERO"</t>
        </is>
      </c>
      <c r="B87" s="9" t="inlineStr">
        <is>
          <t>NO</t>
        </is>
      </c>
      <c r="C87" s="9" t="inlineStr">
        <is>
          <t>NO</t>
        </is>
      </c>
      <c r="D87" s="10" t="inlineStr">
        <is>
          <t>General / Optativas</t>
        </is>
      </c>
      <c r="E87" s="9">
        <f>IF(OR(B87="SI",B87="SÍ",B87=TRUE),"REGULAR","PENDIENTE")</f>
        <v/>
      </c>
      <c r="F87" s="9">
        <f>IF(OR(C87="SI",C87="SÍ",C87=TRUE),"APROBADA",IF(OR(B87="SI",B87="SÍ",B87=TRUE),"RINDE FINAL","ADEUDA"))</f>
        <v/>
      </c>
      <c r="G87" s="9">
        <f>IF(OR(C87="SI",C87="SÍ",C87=TRUE),"✅ Aprobada",IF(OR(B87="SI",B87="SÍ",B87=TRUE),"⏳ Cursada (Rinde Final)","⚪ Pendiente"))</f>
        <v/>
      </c>
    </row>
    <row r="88" ht="20" customHeight="1">
      <c r="A88" s="11" t="inlineStr">
        <is>
          <t>SEMINARIO OPTATIVO II. "HISTORIA DE AMERICA"</t>
        </is>
      </c>
      <c r="B88" s="9" t="inlineStr">
        <is>
          <t>NO</t>
        </is>
      </c>
      <c r="C88" s="9" t="inlineStr">
        <is>
          <t>NO</t>
        </is>
      </c>
      <c r="D88" s="12" t="inlineStr">
        <is>
          <t>General / Optativas</t>
        </is>
      </c>
      <c r="E88" s="9">
        <f>IF(OR(B88="SI",B88="SÍ",B88=TRUE),"REGULAR","PENDIENTE")</f>
        <v/>
      </c>
      <c r="F88" s="9">
        <f>IF(OR(C88="SI",C88="SÍ",C88=TRUE),"APROBADA",IF(OR(B88="SI",B88="SÍ",B88=TRUE),"RINDE FINAL","ADEUDA"))</f>
        <v/>
      </c>
      <c r="G88" s="9">
        <f>IF(OR(C88="SI",C88="SÍ",C88=TRUE),"✅ Aprobada",IF(OR(B88="SI",B88="SÍ",B88=TRUE),"⏳ Cursada (Rinde Final)","⚪ Pendiente"))</f>
        <v/>
      </c>
    </row>
    <row r="89" ht="20" customHeight="1">
      <c r="A89" s="8" t="inlineStr">
        <is>
          <t>TRABAJO DE CAMPO II</t>
        </is>
      </c>
      <c r="B89" s="9" t="inlineStr">
        <is>
          <t>NO</t>
        </is>
      </c>
      <c r="C89" s="9" t="inlineStr">
        <is>
          <t>NO</t>
        </is>
      </c>
      <c r="D89" s="10" t="inlineStr">
        <is>
          <t>General / Optativas</t>
        </is>
      </c>
      <c r="E89" s="9">
        <f>IF(OR(B89="SI",B89="SÍ",B89=TRUE),"REGULAR","PENDIENTE")</f>
        <v/>
      </c>
      <c r="F89" s="9">
        <f>IF(OR(C89="SI",C89="SÍ",C89=TRUE),"APROBADA",IF(OR(B89="SI",B89="SÍ",B89=TRUE),"RINDE FINAL","ADEUDA"))</f>
        <v/>
      </c>
      <c r="G89" s="9">
        <f>IF(OR(C89="SI",C89="SÍ",C89=TRUE),"✅ Aprobada",IF(OR(B89="SI",B89="SÍ",B89=TRUE),"⏳ Cursada (Rinde Final)","⚪ Pendiente"))</f>
        <v/>
      </c>
    </row>
  </sheetData>
  <mergeCells count="17">
    <mergeCell ref="I14:J14"/>
    <mergeCell ref="I12:J12"/>
    <mergeCell ref="A1:G1"/>
    <mergeCell ref="A67:G67"/>
    <mergeCell ref="I16:J16"/>
    <mergeCell ref="I15:J15"/>
    <mergeCell ref="A4:G4"/>
    <mergeCell ref="I11:J11"/>
    <mergeCell ref="A26:G26"/>
    <mergeCell ref="A2:G2"/>
    <mergeCell ref="A72:G72"/>
    <mergeCell ref="A52:G52"/>
    <mergeCell ref="A59:G59"/>
    <mergeCell ref="I13:J13"/>
    <mergeCell ref="I17:J17"/>
    <mergeCell ref="A42:G42"/>
    <mergeCell ref="I3:J3"/>
  </mergeCells>
  <dataValidations count="1">
    <dataValidation sqref="B4:C89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2026-08-31T00:07:26Z</dcterms:created>
  <dcterms:modified xmlns:dcterms="http://purl.org/dc/terms/" xmlns:xsi="http://www.w3.org/2001/XMLSchema-instance" xsi:type="dcterms:W3CDTF">2026-08-31T00:07:26Z</dcterms:modified>
</cp:coreProperties>
</file>