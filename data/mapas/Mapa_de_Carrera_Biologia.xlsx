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BIOLOGÍA</t>
        </is>
      </c>
      <c r="I1" s="2" t="inlineStr">
        <is>
          <t>CONTROL DE TRAYECTORIA</t>
        </is>
      </c>
    </row>
    <row r="2" ht="22" customHeight="1">
      <c r="A2" s="3" t="inlineStr">
        <is>
          <t>La Caravana + Estudiantes Independientes | Altillo JVG - ISP Joaquín V. González</t>
        </is>
      </c>
      <c r="I2" s="4" t="inlineStr">
        <is>
          <t>Total de Materias del Plan</t>
        </is>
      </c>
      <c r="J2" s="5" t="n">
        <v>47</v>
      </c>
    </row>
    <row r="3" ht="22" customHeight="1">
      <c r="I3" s="4" t="inlineStr">
        <is>
          <t>Materias con Cursada Regular</t>
        </is>
      </c>
      <c r="J3" s="5">
        <f>COUNTIF(B6:B56,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COUNTIF(C6:C56, "SI")</f>
        <v/>
      </c>
    </row>
    <row r="5" ht="22" customHeight="1">
      <c r="A5" s="7" t="inlineStr">
        <is>
          <t>📌 1° AÑO</t>
        </is>
      </c>
      <c r="I5" s="4" t="inlineStr">
        <is>
          <t>Finales Adeudados</t>
        </is>
      </c>
      <c r="J5" s="5">
        <f>COUNTIF(F6:F56, "ADEUDA FINAL")</f>
        <v/>
      </c>
    </row>
    <row r="6" ht="22" customHeight="1">
      <c r="A6" s="8" t="inlineStr">
        <is>
          <t>Matemática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COUNTIF(B6:B56, "SI")/47</f>
        <v/>
      </c>
    </row>
    <row r="7" ht="22" customHeight="1">
      <c r="A7" s="8" t="inlineStr">
        <is>
          <t>Física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COUNTIF(C6:C56, "SI")/47</f>
        <v/>
      </c>
    </row>
    <row r="8" ht="20" customHeight="1">
      <c r="A8" s="8" t="inlineStr">
        <is>
          <t>Química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Introducción a los sistemas vivientes</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Psicología educacional</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PsicologÍa del desarrollo y del aprendizaje</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Leo</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Biología de los animales 1</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Biología de las plantas 1</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Biología molecular y celular</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Ciencias de la tierra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Física biológica</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Química biológica</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Pedagogía</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DDHH, sociedad y estado</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Taller de lengua extranjera</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Taller de actualización en didacticas especificas</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Taller de actualización disciplinar y su didactica</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Nuevas tecnologias</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2" customHeight="1">
      <c r="A27" s="7" t="inlineStr">
        <is>
          <t>📌 3° AÑO</t>
        </is>
      </c>
    </row>
    <row r="28" ht="20" customHeight="1">
      <c r="A28" s="8" t="inlineStr">
        <is>
          <t>Genética clasica, molecular y poblacional</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Biología de las plantas 2</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Biología humana 1</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Biodiversidad de las plantas</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Biología de los animales 2</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Didactica general</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Filosofía</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Trabajod de campo 2</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La experimentación en biología y su didactica</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2" customHeight="1">
      <c r="A37" s="7" t="inlineStr">
        <is>
          <t>📌 4° AÑO</t>
        </is>
      </c>
    </row>
    <row r="38" ht="20" customHeight="1">
      <c r="A38" s="8" t="inlineStr">
        <is>
          <t>Biología de los microorganimos, las algas y los hongos</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Biología de los animales 3</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Biología humana 2</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Dinamica terrestre</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Historia. filosofia y sociologia de la biología</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Construcción practica docente 1 para el nivel medio</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Taller de educación no formal</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El lenguaje de la biología y su didactica</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0" customHeight="1">
      <c r="A46" s="8" t="inlineStr">
        <is>
          <t>Historia de la educación Argentina</t>
        </is>
      </c>
      <c r="B46" s="9" t="inlineStr">
        <is>
          <t>NO</t>
        </is>
      </c>
      <c r="C46" s="9" t="inlineStr">
        <is>
          <t>NO</t>
        </is>
      </c>
      <c r="D46" s="10" t="inlineStr">
        <is>
          <t>4° Año</t>
        </is>
      </c>
      <c r="E46" s="10">
        <f>IF(B46="SI", "REGULAR", "PENDIENTE")</f>
        <v/>
      </c>
      <c r="F46" s="10">
        <f>IF(C46="SI", "APROBADO", IF(B46="SI", "ADEUDA FINAL", "ADEUDA"))</f>
        <v/>
      </c>
      <c r="G46" s="11">
        <f>IF(C46="SI", "🟢 Aprobada", IF(B46="SI", "🟡 Regular", "🟣 Pendiente"))</f>
        <v/>
      </c>
    </row>
    <row r="47" ht="20" customHeight="1">
      <c r="A47" s="8" t="inlineStr">
        <is>
          <t>Ecología y etología</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2" customHeight="1">
      <c r="A48" s="7" t="inlineStr">
        <is>
          <t>📌 5° AÑO</t>
        </is>
      </c>
    </row>
    <row r="49" ht="20" customHeight="1">
      <c r="A49" s="8" t="inlineStr">
        <is>
          <t>Morfofisiologia comparada de los animales y ambiente</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row r="50" ht="20" customHeight="1">
      <c r="A50" s="8" t="inlineStr">
        <is>
          <t>Genetica, ambiente y sociedad</t>
        </is>
      </c>
      <c r="B50" s="9" t="inlineStr">
        <is>
          <t>NO</t>
        </is>
      </c>
      <c r="C50" s="9" t="inlineStr">
        <is>
          <t>NO</t>
        </is>
      </c>
      <c r="D50" s="10" t="inlineStr">
        <is>
          <t>5° Año</t>
        </is>
      </c>
      <c r="E50" s="10">
        <f>IF(B50="SI", "REGULAR", "PENDIENTE")</f>
        <v/>
      </c>
      <c r="F50" s="10">
        <f>IF(C50="SI", "APROBADO", IF(B50="SI", "ADEUDA FINAL", "ADEUDA"))</f>
        <v/>
      </c>
      <c r="G50" s="11">
        <f>IF(C50="SI", "🟢 Aprobada", IF(B50="SI", "🟡 Regular", "🟣 Pendiente"))</f>
        <v/>
      </c>
    </row>
    <row r="51" ht="20" customHeight="1">
      <c r="A51" s="8" t="inlineStr">
        <is>
          <t>Evolución e historia de la vida</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Construcción practica docente 2 y residencia niveles medio y superior</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row r="53" ht="20" customHeight="1">
      <c r="A53" s="8" t="inlineStr">
        <is>
          <t>Metodologia de la investigación</t>
        </is>
      </c>
      <c r="B53" s="9" t="inlineStr">
        <is>
          <t>NO</t>
        </is>
      </c>
      <c r="C53" s="9" t="inlineStr">
        <is>
          <t>NO</t>
        </is>
      </c>
      <c r="D53" s="10" t="inlineStr">
        <is>
          <t>5° Año</t>
        </is>
      </c>
      <c r="E53" s="10">
        <f>IF(B53="SI", "REGULAR", "PENDIENTE")</f>
        <v/>
      </c>
      <c r="F53" s="10">
        <f>IF(C53="SI", "APROBADO", IF(B53="SI", "ADEUDA FINAL", "ADEUDA"))</f>
        <v/>
      </c>
      <c r="G53" s="11">
        <f>IF(C53="SI", "🟢 Aprobada", IF(B53="SI", "🟡 Regular", "🟣 Pendiente"))</f>
        <v/>
      </c>
    </row>
    <row r="54" ht="20" customHeight="1">
      <c r="A54" s="8" t="inlineStr">
        <is>
          <t>Educación para la salud</t>
        </is>
      </c>
      <c r="B54" s="9" t="inlineStr">
        <is>
          <t>NO</t>
        </is>
      </c>
      <c r="C54" s="9" t="inlineStr">
        <is>
          <t>NO</t>
        </is>
      </c>
      <c r="D54" s="10" t="inlineStr">
        <is>
          <t>5° Año</t>
        </is>
      </c>
      <c r="E54" s="10">
        <f>IF(B54="SI", "REGULAR", "PENDIENTE")</f>
        <v/>
      </c>
      <c r="F54" s="10">
        <f>IF(C54="SI", "APROBADO", IF(B54="SI", "ADEUDA FINAL", "ADEUDA"))</f>
        <v/>
      </c>
      <c r="G54" s="11">
        <f>IF(C54="SI", "🟢 Aprobada", IF(B54="SI", "🟡 Regular", "🟣 Pendiente"))</f>
        <v/>
      </c>
    </row>
    <row r="55" ht="20" customHeight="1">
      <c r="A55" s="8" t="inlineStr">
        <is>
          <t>Sistema y politica educativa</t>
        </is>
      </c>
      <c r="B55" s="9" t="inlineStr">
        <is>
          <t>NO</t>
        </is>
      </c>
      <c r="C55" s="9" t="inlineStr">
        <is>
          <t>NO</t>
        </is>
      </c>
      <c r="D55" s="10" t="inlineStr">
        <is>
          <t>5° Año</t>
        </is>
      </c>
      <c r="E55" s="10">
        <f>IF(B55="SI", "REGULAR", "PENDIENTE")</f>
        <v/>
      </c>
      <c r="F55" s="10">
        <f>IF(C55="SI", "APROBADO", IF(B55="SI", "ADEUDA FINAL", "ADEUDA"))</f>
        <v/>
      </c>
      <c r="G55" s="11">
        <f>IF(C55="SI", "🟢 Aprobada", IF(B55="SI", "🟡 Regular", "🟣 Pendiente"))</f>
        <v/>
      </c>
    </row>
    <row r="56" ht="20" customHeight="1">
      <c r="A56" s="8" t="inlineStr">
        <is>
          <t>Didactica de la educación en el ambiente y la sustentabilidad</t>
        </is>
      </c>
      <c r="B56" s="9" t="inlineStr">
        <is>
          <t>NO</t>
        </is>
      </c>
      <c r="C56" s="9" t="inlineStr">
        <is>
          <t>NO</t>
        </is>
      </c>
      <c r="D56" s="10" t="inlineStr">
        <is>
          <t>5° Año</t>
        </is>
      </c>
      <c r="E56" s="10">
        <f>IF(B56="SI", "REGULAR", "PENDIENTE")</f>
        <v/>
      </c>
      <c r="F56" s="10">
        <f>IF(C56="SI", "APROBADO", IF(B56="SI", "ADEUDA FINAL", "ADEUDA"))</f>
        <v/>
      </c>
      <c r="G56" s="11">
        <f>IF(C56="SI", "🟢 Aprobada", IF(B56="SI", "🟡 Regular", "🟣 Pendiente"))</f>
        <v/>
      </c>
    </row>
  </sheetData>
  <mergeCells count="15">
    <mergeCell ref="A13:G13"/>
    <mergeCell ref="I12:J12"/>
    <mergeCell ref="A1:G1"/>
    <mergeCell ref="A27:G27"/>
    <mergeCell ref="I15:J15"/>
    <mergeCell ref="I10:J10"/>
    <mergeCell ref="I1:K1"/>
    <mergeCell ref="A48:G48"/>
    <mergeCell ref="I11:J11"/>
    <mergeCell ref="A2:G2"/>
    <mergeCell ref="I13:J13"/>
    <mergeCell ref="I14:J14"/>
    <mergeCell ref="I9:J9"/>
    <mergeCell ref="A5:G5"/>
    <mergeCell ref="A37:G37"/>
  </mergeCells>
  <dataValidations count="1">
    <dataValidation sqref="B6 B7 B8 B9 B10 B11 B12 B14 B15 B16 B17 B18 B19 B20 B21 B22 B23 B24 B25 B26 B28 B29 B30 B31 B32 B33 B34 B35 B36 B38 B39 B40 B41 B42 B43 B44 B45 B46 B47 B49 B50 B51 B52 B53 B54 B55 B56 C6 C7 C8 C9 C10 C11 C12 C14 C15 C16 C17 C18 C19 C20 C21 C22 C23 C24 C25 C26 C28 C29 C30 C31 C32 C33 C34 C35 C36 C38 C39 C40 C41 C42 C43 C44 C45 C46 C47 C49 C50 C51 C52 C53 C54 C55 C56"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