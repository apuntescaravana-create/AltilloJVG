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QUÍMICA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38</v>
      </c>
    </row>
    <row r="5" ht="24" customHeight="1">
      <c r="A5" s="8" t="inlineStr">
        <is>
          <t>INTRODUCCION A LA QUIMICA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COUNTIF(B4:B48, "S*") + COUNTIF(B4:B48, TRUE)</f>
        <v/>
      </c>
    </row>
    <row r="6" ht="24" customHeight="1">
      <c r="A6" s="11" t="inlineStr">
        <is>
          <t>MECANICA Y OPTICA GEOMETRICA "B"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COUNTIF(C4:C48, "S*") + COUNTIF(C4:C48, TRUE)</f>
        <v/>
      </c>
    </row>
    <row r="7" ht="24" customHeight="1">
      <c r="A7" s="8" t="inlineStr">
        <is>
          <t>QUIMICA GENERAL E INORGANICA I "B"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5" t="inlineStr">
        <is>
          <t>📌 2° AÑO</t>
        </is>
      </c>
      <c r="I8" s="6" t="inlineStr">
        <is>
          <t>% Cursadas Completadas</t>
        </is>
      </c>
      <c r="J8" s="13">
        <f>J5/38</f>
        <v/>
      </c>
    </row>
    <row r="9" ht="24" customHeight="1">
      <c r="A9" s="8" t="inlineStr">
        <is>
          <t>Psicología Educacional</t>
        </is>
      </c>
      <c r="B9" s="9" t="inlineStr">
        <is>
          <t>NO</t>
        </is>
      </c>
      <c r="C9" s="9" t="inlineStr">
        <is>
          <t>NO</t>
        </is>
      </c>
      <c r="D9" s="10" t="inlineStr">
        <is>
          <t>2° Año</t>
        </is>
      </c>
      <c r="E9" s="9">
        <f>IF(OR(B9="SI",B9="SÍ",B9=TRUE),"REGULAR","PENDIENTE")</f>
        <v/>
      </c>
      <c r="F9" s="9">
        <f>IF(OR(C9="SI",C9="SÍ",C9=TRUE),"APROBADA",IF(OR(B9="SI",B9="SÍ",B9=TRUE),"RINDE FINAL","ADEUDA"))</f>
        <v/>
      </c>
      <c r="G9" s="9">
        <f>IF(OR(C9="SI",C9="SÍ",C9=TRUE),"✅ Aprobada",IF(OR(B9="SI",B9="SÍ",B9=TRUE),"⏳ Cursada (Rinde Final)","⚪ Pendiente"))</f>
        <v/>
      </c>
      <c r="I9" s="6" t="inlineStr">
        <is>
          <t>% Carrera Aprobada (Finales)</t>
        </is>
      </c>
      <c r="J9" s="13">
        <f>J6/38</f>
        <v/>
      </c>
    </row>
    <row r="10" ht="20" customHeight="1">
      <c r="A10" s="11" t="inlineStr">
        <is>
          <t>Sociología de la Educación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2°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Sujetos de la Educación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2°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Práctica Docente II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2°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5" t="inlineStr">
        <is>
          <t>📌 3° AÑO</t>
        </is>
      </c>
      <c r="I13" s="15" t="inlineStr">
        <is>
          <t>2. Columna B: Marcá 'SI' si tenés la cursada regular aprobada.</t>
        </is>
      </c>
    </row>
    <row r="14" ht="26" customHeight="1">
      <c r="A14" s="11" t="inlineStr">
        <is>
          <t>Historia Social de la Educación</t>
        </is>
      </c>
      <c r="B14" s="9" t="inlineStr">
        <is>
          <t>NO</t>
        </is>
      </c>
      <c r="C14" s="9" t="inlineStr">
        <is>
          <t>NO</t>
        </is>
      </c>
      <c r="D14" s="12" t="inlineStr">
        <is>
          <t>3° Año</t>
        </is>
      </c>
      <c r="E14" s="9">
        <f>IF(OR(B14="SI",B14="SÍ",B14=TRUE),"REGULAR","PENDIENTE")</f>
        <v/>
      </c>
      <c r="F14" s="9">
        <f>IF(OR(C14="SI",C14="SÍ",C14=TRUE),"APROBADA",IF(OR(B14="SI",B14="SÍ",B14=TRUE),"RINDE FINAL","ADEUDA"))</f>
        <v/>
      </c>
      <c r="G14" s="9">
        <f>IF(OR(C14="SI",C14="SÍ",C14=TRUE),"✅ Aprobada",IF(OR(B14="SI",B14="SÍ",B14=TRUE),"⏳ Cursada (Rinde Final)","⚪ Pendiente"))</f>
        <v/>
      </c>
      <c r="I14" s="15" t="inlineStr">
        <is>
          <t>3. Columna C: Marcá 'SI' si aprobaste el final o promocionaste.</t>
        </is>
      </c>
    </row>
    <row r="15" ht="26" customHeight="1">
      <c r="A15" s="8" t="inlineStr">
        <is>
          <t>Residencia I</t>
        </is>
      </c>
      <c r="B15" s="9" t="inlineStr">
        <is>
          <t>NO</t>
        </is>
      </c>
      <c r="C15" s="9" t="inlineStr">
        <is>
          <t>NO</t>
        </is>
      </c>
      <c r="D15" s="10" t="inlineStr">
        <is>
          <t>3° Año</t>
        </is>
      </c>
      <c r="E15" s="9">
        <f>IF(OR(B15="SI",B15="SÍ",B15=TRUE),"REGULAR","PENDIENTE")</f>
        <v/>
      </c>
      <c r="F15" s="9">
        <f>IF(OR(C15="SI",C15="SÍ",C15=TRUE),"APROBADA",IF(OR(B15="SI",B15="SÍ",B15=TRUE),"RINDE FINAL","ADEUDA"))</f>
        <v/>
      </c>
      <c r="G15" s="9">
        <f>IF(OR(C15="SI",C15="SÍ",C15=TRUE),"✅ Aprobada",IF(OR(B15="SI",B15="SÍ",B15=TRUE),"⏳ Cursada (Rinde Final)","⚪ Pendiente"))</f>
        <v/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Espacio de Definición Institucional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3°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Práctica Docente III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3°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4" customHeight="1">
      <c r="A18" s="5" t="inlineStr">
        <is>
          <t>📌 4° AÑO</t>
        </is>
      </c>
    </row>
    <row r="19" ht="20" customHeight="1">
      <c r="A19" s="8" t="inlineStr">
        <is>
          <t>Residencia II / Taller de Cierre</t>
        </is>
      </c>
      <c r="B19" s="9" t="inlineStr">
        <is>
          <t>NO</t>
        </is>
      </c>
      <c r="C19" s="9" t="inlineStr">
        <is>
          <t>NO</t>
        </is>
      </c>
      <c r="D19" s="10" t="inlineStr">
        <is>
          <t>4° Año</t>
        </is>
      </c>
      <c r="E19" s="9">
        <f>IF(OR(B19="SI",B19="SÍ",B19=TRUE),"REGULAR","PENDIENTE")</f>
        <v/>
      </c>
      <c r="F19" s="9">
        <f>IF(OR(C19="SI",C19="SÍ",C19=TRUE),"APROBADA",IF(OR(B19="SI",B19="SÍ",B19=TRUE),"RINDE FINAL","ADEUDA"))</f>
        <v/>
      </c>
      <c r="G19" s="9">
        <f>IF(OR(C19="SI",C19="SÍ",C19=TRUE),"✅ Aprobada",IF(OR(B19="SI",B19="SÍ",B19=TRUE),"⏳ Cursada (Rinde Final)","⚪ Pendiente"))</f>
        <v/>
      </c>
    </row>
    <row r="20" ht="20" customHeight="1">
      <c r="A20" s="11" t="inlineStr">
        <is>
          <t>Ética y Trabajo Docente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4°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Investigación Educativa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4°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Práctica Docente IV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4°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4" customHeight="1">
      <c r="A23" s="5" t="inlineStr">
        <is>
          <t>📌 5° AÑO (NIVEL SUPERIOR / TRAMO SUPERIOR)</t>
        </is>
      </c>
    </row>
    <row r="24" ht="20" customHeight="1">
      <c r="A24" s="11" t="inlineStr">
        <is>
          <t>Seminario de Especialización Superior I</t>
        </is>
      </c>
      <c r="B24" s="9" t="inlineStr">
        <is>
          <t>NO</t>
        </is>
      </c>
      <c r="C24" s="9" t="inlineStr">
        <is>
          <t>NO</t>
        </is>
      </c>
      <c r="D24" s="12" t="inlineStr">
        <is>
          <t>5° Año (Nivel Superior / Tramo Superior)</t>
        </is>
      </c>
      <c r="E24" s="9">
        <f>IF(OR(B24="SI",B24="SÍ",B24=TRUE),"REGULAR","PENDIENTE")</f>
        <v/>
      </c>
      <c r="F24" s="9">
        <f>IF(OR(C24="SI",C24="SÍ",C24=TRUE),"APROBADA",IF(OR(B24="SI",B24="SÍ",B24=TRUE),"RINDE FINAL","ADEUDA"))</f>
        <v/>
      </c>
      <c r="G24" s="9">
        <f>IF(OR(C24="SI",C24="SÍ",C24=TRUE),"✅ Aprobada",IF(OR(B24="SI",B24="SÍ",B24=TRUE),"⏳ Cursada (Rinde Final)","⚪ Pendiente"))</f>
        <v/>
      </c>
    </row>
    <row r="25" ht="20" customHeight="1">
      <c r="A25" s="8" t="inlineStr">
        <is>
          <t>Taller de Investigación Aplicada</t>
        </is>
      </c>
      <c r="B25" s="9" t="inlineStr">
        <is>
          <t>NO</t>
        </is>
      </c>
      <c r="C25" s="9" t="inlineStr">
        <is>
          <t>NO</t>
        </is>
      </c>
      <c r="D25" s="10" t="inlineStr">
        <is>
          <t>5° Año (Nivel Superior / Tramo Superior)</t>
        </is>
      </c>
      <c r="E25" s="9">
        <f>IF(OR(B25="SI",B25="SÍ",B25=TRUE),"REGULAR","PENDIENTE")</f>
        <v/>
      </c>
      <c r="F25" s="9">
        <f>IF(OR(C25="SI",C25="SÍ",C25=TRUE),"APROBADA",IF(OR(B25="SI",B25="SÍ",B25=TRUE),"RINDE FINAL","ADEUDA"))</f>
        <v/>
      </c>
      <c r="G25" s="9">
        <f>IF(OR(C25="SI",C25="SÍ",C25=TRUE),"✅ Aprobada",IF(OR(B25="SI",B25="SÍ",B25=TRUE),"⏳ Cursada (Rinde Final)","⚪ Pendiente"))</f>
        <v/>
      </c>
    </row>
    <row r="26" ht="20" customHeight="1">
      <c r="A26" s="11" t="inlineStr">
        <is>
          <t>Didáctica de Nivel Superior</t>
        </is>
      </c>
      <c r="B26" s="9" t="inlineStr">
        <is>
          <t>NO</t>
        </is>
      </c>
      <c r="C26" s="9" t="inlineStr">
        <is>
          <t>NO</t>
        </is>
      </c>
      <c r="D26" s="12" t="inlineStr">
        <is>
          <t>5° Año (Nivel Superior / Tramo Superior)</t>
        </is>
      </c>
      <c r="E26" s="9">
        <f>IF(OR(B26="SI",B26="SÍ",B26=TRUE),"REGULAR","PENDIENTE")</f>
        <v/>
      </c>
      <c r="F26" s="9">
        <f>IF(OR(C26="SI",C26="SÍ",C26=TRUE),"APROBADA",IF(OR(B26="SI",B26="SÍ",B26=TRUE),"RINDE FINAL","ADEUDA"))</f>
        <v/>
      </c>
      <c r="G26" s="9">
        <f>IF(OR(C26="SI",C26="SÍ",C26=TRUE),"✅ Aprobada",IF(OR(B26="SI",B26="SÍ",B26=TRUE),"⏳ Cursada (Rinde Final)","⚪ Pendiente"))</f>
        <v/>
      </c>
    </row>
    <row r="27" ht="20" customHeight="1">
      <c r="A27" s="8" t="inlineStr">
        <is>
          <t>Práctica de Nivel Superior I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5° Año (Nivel Superior / Tramo Superior)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4" customHeight="1">
      <c r="A28" s="5" t="inlineStr">
        <is>
          <t>📌 6° AÑO (NIVEL SUPERIOR / TRAMO SUPERIOR)</t>
        </is>
      </c>
    </row>
    <row r="29" ht="20" customHeight="1">
      <c r="A29" s="8" t="inlineStr">
        <is>
          <t>Seminario de Especialización Superior II</t>
        </is>
      </c>
      <c r="B29" s="9" t="inlineStr">
        <is>
          <t>NO</t>
        </is>
      </c>
      <c r="C29" s="9" t="inlineStr">
        <is>
          <t>NO</t>
        </is>
      </c>
      <c r="D29" s="10" t="inlineStr">
        <is>
          <t>6° Año (Nivel Superior / Tramo Superior)</t>
        </is>
      </c>
      <c r="E29" s="9">
        <f>IF(OR(B29="SI",B29="SÍ",B29=TRUE),"REGULAR","PENDIENTE")</f>
        <v/>
      </c>
      <c r="F29" s="9">
        <f>IF(OR(C29="SI",C29="SÍ",C29=TRUE),"APROBADA",IF(OR(B29="SI",B29="SÍ",B29=TRUE),"RINDE FINAL","ADEUDA"))</f>
        <v/>
      </c>
      <c r="G29" s="9">
        <f>IF(OR(C29="SI",C29="SÍ",C29=TRUE),"✅ Aprobada",IF(OR(B29="SI",B29="SÍ",B29=TRUE),"⏳ Cursada (Rinde Final)","⚪ Pendiente"))</f>
        <v/>
      </c>
    </row>
    <row r="30" ht="20" customHeight="1">
      <c r="A30" s="11" t="inlineStr">
        <is>
          <t>Tesis / Trabajo Final de Licenciatura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6° Año (Nivel Superior / Tramo Superior)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Práctica de Nivel Superior II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6° Año (Nivel Superior / Tramo Superior)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Acreditación de Residencia Superior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6° Año (Nivel Superior / Tramo Superior)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4" customHeight="1">
      <c r="A33" s="5" t="inlineStr">
        <is>
          <t>📌 GENERAL / OPTATIVAS</t>
        </is>
      </c>
    </row>
    <row r="34" ht="20" customHeight="1">
      <c r="A34" s="11" t="inlineStr">
        <is>
          <t>ANALISIS MATEMATICO II</t>
        </is>
      </c>
      <c r="B34" s="9" t="inlineStr">
        <is>
          <t>NO</t>
        </is>
      </c>
      <c r="C34" s="9" t="inlineStr">
        <is>
          <t>NO</t>
        </is>
      </c>
      <c r="D34" s="12" t="inlineStr">
        <is>
          <t>General / Optativas</t>
        </is>
      </c>
      <c r="E34" s="9">
        <f>IF(OR(B34="SI",B34="SÍ",B34=TRUE),"REGULAR","PENDIENTE")</f>
        <v/>
      </c>
      <c r="F34" s="9">
        <f>IF(OR(C34="SI",C34="SÍ",C34=TRUE),"APROBADA",IF(OR(B34="SI",B34="SÍ",B34=TRUE),"RINDE FINAL","ADEUDA"))</f>
        <v/>
      </c>
      <c r="G34" s="9">
        <f>IF(OR(C34="SI",C34="SÍ",C34=TRUE),"✅ Aprobada",IF(OR(B34="SI",B34="SÍ",B34=TRUE),"⏳ Cursada (Rinde Final)","⚪ Pendiente"))</f>
        <v/>
      </c>
    </row>
    <row r="35" ht="20" customHeight="1">
      <c r="A35" s="8" t="inlineStr">
        <is>
          <t>BIOLOGIA CELULAR (1º cuat)</t>
        </is>
      </c>
      <c r="B35" s="9" t="inlineStr">
        <is>
          <t>NO</t>
        </is>
      </c>
      <c r="C35" s="9" t="inlineStr">
        <is>
          <t>NO</t>
        </is>
      </c>
      <c r="D35" s="10" t="inlineStr">
        <is>
          <t>General / Optativas</t>
        </is>
      </c>
      <c r="E35" s="9">
        <f>IF(OR(B35="SI",B35="SÍ",B35=TRUE),"REGULAR","PENDIENTE")</f>
        <v/>
      </c>
      <c r="F35" s="9">
        <f>IF(OR(C35="SI",C35="SÍ",C35=TRUE),"APROBADA",IF(OR(B35="SI",B35="SÍ",B35=TRUE),"RINDE FINAL","ADEUDA"))</f>
        <v/>
      </c>
      <c r="G35" s="9">
        <f>IF(OR(C35="SI",C35="SÍ",C35=TRUE),"✅ Aprobada",IF(OR(B35="SI",B35="SÍ",B35=TRUE),"⏳ Cursada (Rinde Final)","⚪ Pendiente"))</f>
        <v/>
      </c>
    </row>
    <row r="36" ht="20" customHeight="1">
      <c r="A36" s="11" t="inlineStr">
        <is>
          <t>CALOR Y TERMODINAMICA</t>
        </is>
      </c>
      <c r="B36" s="9" t="inlineStr">
        <is>
          <t>NO</t>
        </is>
      </c>
      <c r="C36" s="9" t="inlineStr">
        <is>
          <t>NO</t>
        </is>
      </c>
      <c r="D36" s="12" t="inlineStr">
        <is>
          <t>General / Optativas</t>
        </is>
      </c>
      <c r="E36" s="9">
        <f>IF(OR(B36="SI",B36="SÍ",B36=TRUE),"REGULAR","PENDIENTE")</f>
        <v/>
      </c>
      <c r="F36" s="9">
        <f>IF(OR(C36="SI",C36="SÍ",C36=TRUE),"APROBADA",IF(OR(B36="SI",B36="SÍ",B36=TRUE),"RINDE FINAL","ADEUDA"))</f>
        <v/>
      </c>
      <c r="G36" s="9">
        <f>IF(OR(C36="SI",C36="SÍ",C36=TRUE),"✅ Aprobada",IF(OR(B36="SI",B36="SÍ",B36=TRUE),"⏳ Cursada (Rinde Final)","⚪ Pendiente"))</f>
        <v/>
      </c>
    </row>
    <row r="37" ht="20" customHeight="1">
      <c r="A37" s="8" t="inlineStr">
        <is>
          <t>DINAMICA TERRESTRE</t>
        </is>
      </c>
      <c r="B37" s="9" t="inlineStr">
        <is>
          <t>NO</t>
        </is>
      </c>
      <c r="C37" s="9" t="inlineStr">
        <is>
          <t>NO</t>
        </is>
      </c>
      <c r="D37" s="10" t="inlineStr">
        <is>
          <t>General / Optativas</t>
        </is>
      </c>
      <c r="E37" s="9">
        <f>IF(OR(B37="SI",B37="SÍ",B37=TRUE),"REGULAR","PENDIENTE")</f>
        <v/>
      </c>
      <c r="F37" s="9">
        <f>IF(OR(C37="SI",C37="SÍ",C37=TRUE),"APROBADA",IF(OR(B37="SI",B37="SÍ",B37=TRUE),"RINDE FINAL","ADEUDA"))</f>
        <v/>
      </c>
      <c r="G37" s="9">
        <f>IF(OR(C37="SI",C37="SÍ",C37=TRUE),"✅ Aprobada",IF(OR(B37="SI",B37="SÍ",B37=TRUE),"⏳ Cursada (Rinde Final)","⚪ Pendiente"))</f>
        <v/>
      </c>
    </row>
    <row r="38" ht="20" customHeight="1">
      <c r="A38" s="11" t="inlineStr">
        <is>
          <t>INTRODUCCION A LA QUIMICA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General / Optativas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MECÁNICA Y OPTICA GEOMETRICA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General / Optativas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0" customHeight="1">
      <c r="A40" s="11" t="inlineStr">
        <is>
          <t>PEDAGOGIA</t>
        </is>
      </c>
      <c r="B40" s="9" t="inlineStr">
        <is>
          <t>NO</t>
        </is>
      </c>
      <c r="C40" s="9" t="inlineStr">
        <is>
          <t>NO</t>
        </is>
      </c>
      <c r="D40" s="12" t="inlineStr">
        <is>
          <t>General / Optativas</t>
        </is>
      </c>
      <c r="E40" s="9">
        <f>IF(OR(B40="SI",B40="SÍ",B40=TRUE),"REGULAR","PENDIENTE")</f>
        <v/>
      </c>
      <c r="F40" s="9">
        <f>IF(OR(C40="SI",C40="SÍ",C40=TRUE),"APROBADA",IF(OR(B40="SI",B40="SÍ",B40=TRUE),"RINDE FINAL","ADEUDA"))</f>
        <v/>
      </c>
      <c r="G40" s="9">
        <f>IF(OR(C40="SI",C40="SÍ",C40=TRUE),"✅ Aprobada",IF(OR(B40="SI",B40="SÍ",B40=TRUE),"⏳ Cursada (Rinde Final)","⚪ Pendiente"))</f>
        <v/>
      </c>
    </row>
    <row r="41" ht="20" customHeight="1">
      <c r="A41" s="8" t="inlineStr">
        <is>
          <t>QUIMICA ANALITICA</t>
        </is>
      </c>
      <c r="B41" s="9" t="inlineStr">
        <is>
          <t>NO</t>
        </is>
      </c>
      <c r="C41" s="9" t="inlineStr">
        <is>
          <t>NO</t>
        </is>
      </c>
      <c r="D41" s="10" t="inlineStr">
        <is>
          <t>General / Optativas</t>
        </is>
      </c>
      <c r="E41" s="9">
        <f>IF(OR(B41="SI",B41="SÍ",B41=TRUE),"REGULAR","PENDIENTE")</f>
        <v/>
      </c>
      <c r="F41" s="9">
        <f>IF(OR(C41="SI",C41="SÍ",C41=TRUE),"APROBADA",IF(OR(B41="SI",B41="SÍ",B41=TRUE),"RINDE FINAL","ADEUDA"))</f>
        <v/>
      </c>
      <c r="G41" s="9">
        <f>IF(OR(C41="SI",C41="SÍ",C41=TRUE),"✅ Aprobada",IF(OR(B41="SI",B41="SÍ",B41=TRUE),"⏳ Cursada (Rinde Final)","⚪ Pendiente"))</f>
        <v/>
      </c>
    </row>
    <row r="42" ht="20" customHeight="1">
      <c r="A42" s="11" t="inlineStr">
        <is>
          <t>QUIMICA BIOLOGICA</t>
        </is>
      </c>
      <c r="B42" s="9" t="inlineStr">
        <is>
          <t>NO</t>
        </is>
      </c>
      <c r="C42" s="9" t="inlineStr">
        <is>
          <t>NO</t>
        </is>
      </c>
      <c r="D42" s="12" t="inlineStr">
        <is>
          <t>General / Optativas</t>
        </is>
      </c>
      <c r="E42" s="9">
        <f>IF(OR(B42="SI",B42="SÍ",B42=TRUE),"REGULAR","PENDIENTE")</f>
        <v/>
      </c>
      <c r="F42" s="9">
        <f>IF(OR(C42="SI",C42="SÍ",C42=TRUE),"APROBADA",IF(OR(B42="SI",B42="SÍ",B42=TRUE),"RINDE FINAL","ADEUDA"))</f>
        <v/>
      </c>
      <c r="G42" s="9">
        <f>IF(OR(C42="SI",C42="SÍ",C42=TRUE),"✅ Aprobada",IF(OR(B42="SI",B42="SÍ",B42=TRUE),"⏳ Cursada (Rinde Final)","⚪ Pendiente"))</f>
        <v/>
      </c>
    </row>
    <row r="43" ht="20" customHeight="1">
      <c r="A43" s="8" t="inlineStr">
        <is>
          <t>QUIMICA FISICA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General / Optativas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0" customHeight="1">
      <c r="A44" s="11" t="inlineStr">
        <is>
          <t>QUIMICA GENERAL E INORGANICA I</t>
        </is>
      </c>
      <c r="B44" s="9" t="inlineStr">
        <is>
          <t>NO</t>
        </is>
      </c>
      <c r="C44" s="9" t="inlineStr">
        <is>
          <t>NO</t>
        </is>
      </c>
      <c r="D44" s="12" t="inlineStr">
        <is>
          <t>General / Optativas</t>
        </is>
      </c>
      <c r="E44" s="9">
        <f>IF(OR(B44="SI",B44="SÍ",B44=TRUE),"REGULAR","PENDIENTE")</f>
        <v/>
      </c>
      <c r="F44" s="9">
        <f>IF(OR(C44="SI",C44="SÍ",C44=TRUE),"APROBADA",IF(OR(B44="SI",B44="SÍ",B44=TRUE),"RINDE FINAL","ADEUDA"))</f>
        <v/>
      </c>
      <c r="G44" s="9">
        <f>IF(OR(C44="SI",C44="SÍ",C44=TRUE),"✅ Aprobada",IF(OR(B44="SI",B44="SÍ",B44=TRUE),"⏳ Cursada (Rinde Final)","⚪ Pendiente"))</f>
        <v/>
      </c>
    </row>
    <row r="45" ht="20" customHeight="1">
      <c r="A45" s="8" t="inlineStr">
        <is>
          <t>QUIMICA GENERAL E INORGANICA II</t>
        </is>
      </c>
      <c r="B45" s="9" t="inlineStr">
        <is>
          <t>NO</t>
        </is>
      </c>
      <c r="C45" s="9" t="inlineStr">
        <is>
          <t>NO</t>
        </is>
      </c>
      <c r="D45" s="10" t="inlineStr">
        <is>
          <t>General / Optativas</t>
        </is>
      </c>
      <c r="E45" s="9">
        <f>IF(OR(B45="SI",B45="SÍ",B45=TRUE),"REGULAR","PENDIENTE")</f>
        <v/>
      </c>
      <c r="F45" s="9">
        <f>IF(OR(C45="SI",C45="SÍ",C45=TRUE),"APROBADA",IF(OR(B45="SI",B45="SÍ",B45=TRUE),"RINDE FINAL","ADEUDA"))</f>
        <v/>
      </c>
      <c r="G45" s="9">
        <f>IF(OR(C45="SI",C45="SÍ",C45=TRUE),"✅ Aprobada",IF(OR(B45="SI",B45="SÍ",B45=TRUE),"⏳ Cursada (Rinde Final)","⚪ Pendiente"))</f>
        <v/>
      </c>
    </row>
    <row r="46" ht="20" customHeight="1">
      <c r="A46" s="11" t="inlineStr">
        <is>
          <t>SEMINARIO DIDACTICO DISCIPLINAR DE QUIMICA</t>
        </is>
      </c>
      <c r="B46" s="9" t="inlineStr">
        <is>
          <t>NO</t>
        </is>
      </c>
      <c r="C46" s="9" t="inlineStr">
        <is>
          <t>NO</t>
        </is>
      </c>
      <c r="D46" s="12" t="inlineStr">
        <is>
          <t>General / Optativas</t>
        </is>
      </c>
      <c r="E46" s="9">
        <f>IF(OR(B46="SI",B46="SÍ",B46=TRUE),"REGULAR","PENDIENTE")</f>
        <v/>
      </c>
      <c r="F46" s="9">
        <f>IF(OR(C46="SI",C46="SÍ",C46=TRUE),"APROBADA",IF(OR(B46="SI",B46="SÍ",B46=TRUE),"RINDE FINAL","ADEUDA"))</f>
        <v/>
      </c>
      <c r="G46" s="9">
        <f>IF(OR(C46="SI",C46="SÍ",C46=TRUE),"✅ Aprobada",IF(OR(B46="SI",B46="SÍ",B46=TRUE),"⏳ Cursada (Rinde Final)","⚪ Pendiente"))</f>
        <v/>
      </c>
    </row>
    <row r="47" ht="20" customHeight="1">
      <c r="A47" s="8" t="inlineStr">
        <is>
          <t>SISTEMA Y POLITICA EDUCATIVA 1° CUAT</t>
        </is>
      </c>
      <c r="B47" s="9" t="inlineStr">
        <is>
          <t>NO</t>
        </is>
      </c>
      <c r="C47" s="9" t="inlineStr">
        <is>
          <t>NO</t>
        </is>
      </c>
      <c r="D47" s="10" t="inlineStr">
        <is>
          <t>General / Optativas</t>
        </is>
      </c>
      <c r="E47" s="9">
        <f>IF(OR(B47="SI",B47="SÍ",B47=TRUE),"REGULAR","PENDIENTE")</f>
        <v/>
      </c>
      <c r="F47" s="9">
        <f>IF(OR(C47="SI",C47="SÍ",C47=TRUE),"APROBADA",IF(OR(B47="SI",B47="SÍ",B47=TRUE),"RINDE FINAL","ADEUDA"))</f>
        <v/>
      </c>
      <c r="G47" s="9">
        <f>IF(OR(C47="SI",C47="SÍ",C47=TRUE),"✅ Aprobada",IF(OR(B47="SI",B47="SÍ",B47=TRUE),"⏳ Cursada (Rinde Final)","⚪ Pendiente"))</f>
        <v/>
      </c>
    </row>
    <row r="48" ht="20" customHeight="1">
      <c r="A48" s="11" t="inlineStr">
        <is>
          <t>TRABAJO DE CAMPO II</t>
        </is>
      </c>
      <c r="B48" s="9" t="inlineStr">
        <is>
          <t>NO</t>
        </is>
      </c>
      <c r="C48" s="9" t="inlineStr">
        <is>
          <t>NO</t>
        </is>
      </c>
      <c r="D48" s="12" t="inlineStr">
        <is>
          <t>General / Optativas</t>
        </is>
      </c>
      <c r="E48" s="9">
        <f>IF(OR(B48="SI",B48="SÍ",B48=TRUE),"REGULAR","PENDIENTE")</f>
        <v/>
      </c>
      <c r="F48" s="9">
        <f>IF(OR(C48="SI",C48="SÍ",C48=TRUE),"APROBADA",IF(OR(B48="SI",B48="SÍ",B48=TRUE),"RINDE FINAL","ADEUDA"))</f>
        <v/>
      </c>
      <c r="G48" s="9">
        <f>IF(OR(C48="SI",C48="SÍ",C48=TRUE),"✅ Aprobada",IF(OR(B48="SI",B48="SÍ",B48=TRUE),"⏳ Cursada (Rinde Final)","⚪ Pendiente"))</f>
        <v/>
      </c>
    </row>
  </sheetData>
  <mergeCells count="17">
    <mergeCell ref="A13:G13"/>
    <mergeCell ref="I12:J12"/>
    <mergeCell ref="A1:G1"/>
    <mergeCell ref="A18:G18"/>
    <mergeCell ref="I16:J16"/>
    <mergeCell ref="A8:G8"/>
    <mergeCell ref="I3:J3"/>
    <mergeCell ref="I15:J15"/>
    <mergeCell ref="A4:G4"/>
    <mergeCell ref="I11:J11"/>
    <mergeCell ref="A2:G2"/>
    <mergeCell ref="I13:J13"/>
    <mergeCell ref="I14:J14"/>
    <mergeCell ref="A33:G33"/>
    <mergeCell ref="I17:J17"/>
    <mergeCell ref="A28:G28"/>
    <mergeCell ref="A23:G23"/>
  </mergeCells>
  <dataValidations count="1">
    <dataValidation sqref="B4:C48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2026-08-31T00:07:27Z</dcterms:created>
  <dcterms:modified xmlns:dcterms="http://purl.org/dc/terms/" xmlns:xsi="http://www.w3.org/2001/XMLSchema-instance" xsi:type="dcterms:W3CDTF">2026-08-31T00:07:27Z</dcterms:modified>
</cp:coreProperties>
</file>