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CIENCIAS DE LA ADMINISTRACIÓN</t>
        </is>
      </c>
      <c r="I1" s="2" t="inlineStr">
        <is>
          <t>CONTROL DE TRAYECTORIA</t>
        </is>
      </c>
    </row>
    <row r="2" ht="22" customHeight="1">
      <c r="A2" s="3" t="inlineStr">
        <is>
          <t>La Caravana + Estudiantes Independientes | Altillo JVG - ISP Joaquín V. González</t>
        </is>
      </c>
      <c r="I2" s="4" t="inlineStr">
        <is>
          <t>Total de Materias del Plan</t>
        </is>
      </c>
      <c r="J2" s="5" t="n">
        <v>32</v>
      </c>
    </row>
    <row r="3" ht="22" customHeight="1">
      <c r="I3" s="4" t="inlineStr">
        <is>
          <t>Materias con Cursada Regular</t>
        </is>
      </c>
      <c r="J3" s="5">
        <f>COUNTIF(B6:B41,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COUNTIF(C6:C41, "SI")</f>
        <v/>
      </c>
    </row>
    <row r="5" ht="22" customHeight="1">
      <c r="A5" s="7" t="inlineStr">
        <is>
          <t>📌 1° AÑO</t>
        </is>
      </c>
      <c r="I5" s="4" t="inlineStr">
        <is>
          <t>Finales Adeudados</t>
        </is>
      </c>
      <c r="J5" s="5">
        <f>COUNTIF(F6:F41, "ADEUDA FINAL")</f>
        <v/>
      </c>
    </row>
    <row r="6" ht="22" customHeight="1">
      <c r="A6" s="8" t="inlineStr">
        <is>
          <t>Teoría de la Administración I (Fundamentos y Escuelas)</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COUNTIF(B6:B41, "SI")/32</f>
        <v/>
      </c>
    </row>
    <row r="7" ht="22" customHeight="1">
      <c r="A7" s="8" t="inlineStr">
        <is>
          <t>Principios de Economía y Mercado</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COUNTIF(C6:C41, "SI")/32</f>
        <v/>
      </c>
    </row>
    <row r="8" ht="20" customHeight="1">
      <c r="A8" s="8" t="inlineStr">
        <is>
          <t>Matemática Aplicada a la Administración</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Sistemas de Información y Contabilidad Básica</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Pedagogía</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Lectura, Escritura y Oralidad I (LEO 1)</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Trabajo de Campo I</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7" t="inlineStr">
        <is>
          <t>📌 2° AÑO</t>
        </is>
      </c>
      <c r="I13" s="14" t="inlineStr">
        <is>
          <t>4. Las columnas E, F y G se actualizan automaticamente en tiempo real.</t>
        </is>
      </c>
    </row>
    <row r="14" ht="20" customHeight="1">
      <c r="A14" s="8" t="inlineStr">
        <is>
          <t>Teoría de la Administración II (Procesos Organizacionales)</t>
        </is>
      </c>
      <c r="B14" s="9" t="inlineStr">
        <is>
          <t>NO</t>
        </is>
      </c>
      <c r="C14" s="9" t="inlineStr">
        <is>
          <t>NO</t>
        </is>
      </c>
      <c r="D14" s="10" t="inlineStr">
        <is>
          <t>2°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8" t="inlineStr">
        <is>
          <t>Contabilidad Financiera y de Costos</t>
        </is>
      </c>
      <c r="B15" s="9" t="inlineStr">
        <is>
          <t>NO</t>
        </is>
      </c>
      <c r="C15" s="9" t="inlineStr">
        <is>
          <t>NO</t>
        </is>
      </c>
      <c r="D15" s="10" t="inlineStr">
        <is>
          <t>2°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0" customHeight="1">
      <c r="A16" s="8" t="inlineStr">
        <is>
          <t>Estadística Aplicada a las Organizaciones</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Derecho Aplicado a las Organizaciones</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Didáctica General</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Psicología Educacional</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Sujetos de la Educación</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Trabajo de Campo II</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2" customHeight="1">
      <c r="A22" s="7" t="inlineStr">
        <is>
          <t>📌 3° AÑO</t>
        </is>
      </c>
    </row>
    <row r="23" ht="20" customHeight="1">
      <c r="A23" s="8" t="inlineStr">
        <is>
          <t>Administración de Recursos Humanos y Relaciones Laborales</t>
        </is>
      </c>
      <c r="B23" s="9" t="inlineStr">
        <is>
          <t>NO</t>
        </is>
      </c>
      <c r="C23" s="9" t="inlineStr">
        <is>
          <t>NO</t>
        </is>
      </c>
      <c r="D23" s="10" t="inlineStr">
        <is>
          <t>3° Año</t>
        </is>
      </c>
      <c r="E23" s="10">
        <f>IF(B23="SI", "REGULAR", "PENDIENTE")</f>
        <v/>
      </c>
      <c r="F23" s="10">
        <f>IF(C23="SI", "APROBADO", IF(B23="SI", "ADEUDA FINAL", "ADEUDA"))</f>
        <v/>
      </c>
      <c r="G23" s="11">
        <f>IF(C23="SI", "🟢 Aprobada", IF(B23="SI", "🟡 Regular", "🟣 Pendiente"))</f>
        <v/>
      </c>
    </row>
    <row r="24" ht="20" customHeight="1">
      <c r="A24" s="8" t="inlineStr">
        <is>
          <t>Administración Financiera y Presupuestaria</t>
        </is>
      </c>
      <c r="B24" s="9" t="inlineStr">
        <is>
          <t>NO</t>
        </is>
      </c>
      <c r="C24" s="9" t="inlineStr">
        <is>
          <t>NO</t>
        </is>
      </c>
      <c r="D24" s="10" t="inlineStr">
        <is>
          <t>3° Año</t>
        </is>
      </c>
      <c r="E24" s="10">
        <f>IF(B24="SI", "REGULAR", "PENDIENTE")</f>
        <v/>
      </c>
      <c r="F24" s="10">
        <f>IF(C24="SI", "APROBADO", IF(B24="SI", "ADEUDA FINAL", "ADEUDA"))</f>
        <v/>
      </c>
      <c r="G24" s="11">
        <f>IF(C24="SI", "🟢 Aprobada", IF(B24="SI", "🟡 Regular", "🟣 Pendiente"))</f>
        <v/>
      </c>
    </row>
    <row r="25" ht="20" customHeight="1">
      <c r="A25" s="8" t="inlineStr">
        <is>
          <t>Comercialización y Marketing Estratégico</t>
        </is>
      </c>
      <c r="B25" s="9" t="inlineStr">
        <is>
          <t>NO</t>
        </is>
      </c>
      <c r="C25" s="9" t="inlineStr">
        <is>
          <t>NO</t>
        </is>
      </c>
      <c r="D25" s="10" t="inlineStr">
        <is>
          <t>3° Año</t>
        </is>
      </c>
      <c r="E25" s="10">
        <f>IF(B25="SI", "REGULAR", "PENDIENTE")</f>
        <v/>
      </c>
      <c r="F25" s="10">
        <f>IF(C25="SI", "APROBADO", IF(B25="SI", "ADEUDA FINAL", "ADEUDA"))</f>
        <v/>
      </c>
      <c r="G25" s="11">
        <f>IF(C25="SI", "🟢 Aprobada", IF(B25="SI", "🟡 Regular", "🟣 Pendiente"))</f>
        <v/>
      </c>
    </row>
    <row r="26" ht="20" customHeight="1">
      <c r="A26" s="8" t="inlineStr">
        <is>
          <t>Didáctica de la Administración I</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Historia Social de la Educación</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Derechos Humanos, Sociedad y Estado</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Construcción de la Práctica Docente I</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2" customHeight="1">
      <c r="A30" s="7" t="inlineStr">
        <is>
          <t>📌 4° AÑO</t>
        </is>
      </c>
    </row>
    <row r="31" ht="20" customHeight="1">
      <c r="A31" s="8" t="inlineStr">
        <is>
          <t>Planeamiento Estratégico y Dirección General</t>
        </is>
      </c>
      <c r="B31" s="9" t="inlineStr">
        <is>
          <t>NO</t>
        </is>
      </c>
      <c r="C31" s="9" t="inlineStr">
        <is>
          <t>NO</t>
        </is>
      </c>
      <c r="D31" s="10" t="inlineStr">
        <is>
          <t>4° Año</t>
        </is>
      </c>
      <c r="E31" s="10">
        <f>IF(B31="SI", "REGULAR", "PENDIENTE")</f>
        <v/>
      </c>
      <c r="F31" s="10">
        <f>IF(C31="SI", "APROBADO", IF(B31="SI", "ADEUDA FINAL", "ADEUDA"))</f>
        <v/>
      </c>
      <c r="G31" s="11">
        <f>IF(C31="SI", "🟢 Aprobada", IF(B31="SI", "🟡 Regular", "🟣 Pendiente"))</f>
        <v/>
      </c>
    </row>
    <row r="32" ht="20" customHeight="1">
      <c r="A32" s="8" t="inlineStr">
        <is>
          <t>Gestión de Organizaciones Públicas, Privadas y del Tercer Sector</t>
        </is>
      </c>
      <c r="B32" s="9" t="inlineStr">
        <is>
          <t>NO</t>
        </is>
      </c>
      <c r="C32" s="9" t="inlineStr">
        <is>
          <t>NO</t>
        </is>
      </c>
      <c r="D32" s="10" t="inlineStr">
        <is>
          <t>4° Año</t>
        </is>
      </c>
      <c r="E32" s="10">
        <f>IF(B32="SI", "REGULAR", "PENDIENTE")</f>
        <v/>
      </c>
      <c r="F32" s="10">
        <f>IF(C32="SI", "APROBADO", IF(B32="SI", "ADEUDA FINAL", "ADEUDA"))</f>
        <v/>
      </c>
      <c r="G32" s="11">
        <f>IF(C32="SI", "🟢 Aprobada", IF(B32="SI", "🟡 Regular", "🟣 Pendiente"))</f>
        <v/>
      </c>
    </row>
    <row r="33" ht="20" customHeight="1">
      <c r="A33" s="8" t="inlineStr">
        <is>
          <t>Emprendedorismo y Formulación de Proyectos</t>
        </is>
      </c>
      <c r="B33" s="9" t="inlineStr">
        <is>
          <t>NO</t>
        </is>
      </c>
      <c r="C33" s="9" t="inlineStr">
        <is>
          <t>NO</t>
        </is>
      </c>
      <c r="D33" s="10" t="inlineStr">
        <is>
          <t>4° Año</t>
        </is>
      </c>
      <c r="E33" s="10">
        <f>IF(B33="SI", "REGULAR", "PENDIENTE")</f>
        <v/>
      </c>
      <c r="F33" s="10">
        <f>IF(C33="SI", "APROBADO", IF(B33="SI", "ADEUDA FINAL", "ADEUDA"))</f>
        <v/>
      </c>
      <c r="G33" s="11">
        <f>IF(C33="SI", "🟢 Aprobada", IF(B33="SI", "🟡 Regular", "🟣 Pendiente"))</f>
        <v/>
      </c>
    </row>
    <row r="34" ht="20" customHeight="1">
      <c r="A34" s="8" t="inlineStr">
        <is>
          <t>Didáctica de la Administración II</t>
        </is>
      </c>
      <c r="B34" s="9" t="inlineStr">
        <is>
          <t>NO</t>
        </is>
      </c>
      <c r="C34" s="9" t="inlineStr">
        <is>
          <t>NO</t>
        </is>
      </c>
      <c r="D34" s="10" t="inlineStr">
        <is>
          <t>4° Año</t>
        </is>
      </c>
      <c r="E34" s="10">
        <f>IF(B34="SI", "REGULAR", "PENDIENTE")</f>
        <v/>
      </c>
      <c r="F34" s="10">
        <f>IF(C34="SI", "APROBADO", IF(B34="SI", "ADEUDA FINAL", "ADEUDA"))</f>
        <v/>
      </c>
      <c r="G34" s="11">
        <f>IF(C34="SI", "🟢 Aprobada", IF(B34="SI", "🟡 Regular", "🟣 Pendiente"))</f>
        <v/>
      </c>
    </row>
    <row r="35" ht="20" customHeight="1">
      <c r="A35" s="8" t="inlineStr">
        <is>
          <t>Educación Sexual Integral (ESI)</t>
        </is>
      </c>
      <c r="B35" s="9" t="inlineStr">
        <is>
          <t>NO</t>
        </is>
      </c>
      <c r="C35" s="9" t="inlineStr">
        <is>
          <t>NO</t>
        </is>
      </c>
      <c r="D35" s="10" t="inlineStr">
        <is>
          <t>4° Año</t>
        </is>
      </c>
      <c r="E35" s="10">
        <f>IF(B35="SI", "REGULAR", "PENDIENTE")</f>
        <v/>
      </c>
      <c r="F35" s="10">
        <f>IF(C35="SI", "APROBADO", IF(B35="SI", "ADEUDA FINAL", "ADEUDA"))</f>
        <v/>
      </c>
      <c r="G35" s="11">
        <f>IF(C35="SI", "🟢 Aprobada", IF(B35="SI", "🟡 Regular", "🟣 Pendiente"))</f>
        <v/>
      </c>
    </row>
    <row r="36" ht="20" customHeight="1">
      <c r="A36" s="8" t="inlineStr">
        <is>
          <t>Ética y Trabajo Docente</t>
        </is>
      </c>
      <c r="B36" s="9" t="inlineStr">
        <is>
          <t>NO</t>
        </is>
      </c>
      <c r="C36" s="9" t="inlineStr">
        <is>
          <t>NO</t>
        </is>
      </c>
      <c r="D36" s="10" t="inlineStr">
        <is>
          <t>4° Año</t>
        </is>
      </c>
      <c r="E36" s="10">
        <f>IF(B36="SI", "REGULAR", "PENDIENTE")</f>
        <v/>
      </c>
      <c r="F36" s="10">
        <f>IF(C36="SI", "APROBADO", IF(B36="SI", "ADEUDA FINAL", "ADEUDA"))</f>
        <v/>
      </c>
      <c r="G36" s="11">
        <f>IF(C36="SI", "🟢 Aprobada", IF(B36="SI", "🟡 Regular", "🟣 Pendiente"))</f>
        <v/>
      </c>
    </row>
    <row r="37" ht="20" customHeight="1">
      <c r="A37" s="8" t="inlineStr">
        <is>
          <t>Residencia y Construcción de la Práctica Docente II</t>
        </is>
      </c>
      <c r="B37" s="9" t="inlineStr">
        <is>
          <t>NO</t>
        </is>
      </c>
      <c r="C37" s="9" t="inlineStr">
        <is>
          <t>NO</t>
        </is>
      </c>
      <c r="D37" s="10" t="inlineStr">
        <is>
          <t>4° Año</t>
        </is>
      </c>
      <c r="E37" s="10">
        <f>IF(B37="SI", "REGULAR", "PENDIENTE")</f>
        <v/>
      </c>
      <c r="F37" s="10">
        <f>IF(C37="SI", "APROBADO", IF(B37="SI", "ADEUDA FINAL", "ADEUDA"))</f>
        <v/>
      </c>
      <c r="G37" s="11">
        <f>IF(C37="SI", "🟢 Aprobada", IF(B37="SI", "🟡 Regular", "🟣 Pendiente"))</f>
        <v/>
      </c>
    </row>
    <row r="38" ht="22" customHeight="1">
      <c r="A38" s="7" t="inlineStr">
        <is>
          <t>📌 TRAMO SUPERIOR / SEMINARIOS</t>
        </is>
      </c>
    </row>
    <row r="39" ht="20" customHeight="1">
      <c r="A39" s="8" t="inlineStr">
        <is>
          <t>Seminario de Innovación y Gestión Tecnológica</t>
        </is>
      </c>
      <c r="B39" s="9" t="inlineStr">
        <is>
          <t>NO</t>
        </is>
      </c>
      <c r="C39" s="9" t="inlineStr">
        <is>
          <t>NO</t>
        </is>
      </c>
      <c r="D39" s="10" t="inlineStr">
        <is>
          <t>Tramo Superior / Seminarios</t>
        </is>
      </c>
      <c r="E39" s="10">
        <f>IF(B39="SI", "REGULAR", "PENDIENTE")</f>
        <v/>
      </c>
      <c r="F39" s="10">
        <f>IF(C39="SI", "APROBADO", IF(B39="SI", "ADEUDA FINAL", "ADEUDA"))</f>
        <v/>
      </c>
      <c r="G39" s="11">
        <f>IF(C39="SI", "🟢 Aprobada", IF(B39="SI", "🟡 Regular", "🟣 Pendiente"))</f>
        <v/>
      </c>
    </row>
    <row r="40" ht="20" customHeight="1">
      <c r="A40" s="8" t="inlineStr">
        <is>
          <t>Seminario de Responsabilidad Social Organizacional</t>
        </is>
      </c>
      <c r="B40" s="9" t="inlineStr">
        <is>
          <t>NO</t>
        </is>
      </c>
      <c r="C40" s="9" t="inlineStr">
        <is>
          <t>NO</t>
        </is>
      </c>
      <c r="D40" s="10" t="inlineStr">
        <is>
          <t>Tramo Superior / Seminarios</t>
        </is>
      </c>
      <c r="E40" s="10">
        <f>IF(B40="SI", "REGULAR", "PENDIENTE")</f>
        <v/>
      </c>
      <c r="F40" s="10">
        <f>IF(C40="SI", "APROBADO", IF(B40="SI", "ADEUDA FINAL", "ADEUDA"))</f>
        <v/>
      </c>
      <c r="G40" s="11">
        <f>IF(C40="SI", "🟢 Aprobada", IF(B40="SI", "🟡 Regular", "🟣 Pendiente"))</f>
        <v/>
      </c>
    </row>
    <row r="41" ht="20" customHeight="1">
      <c r="A41" s="8" t="inlineStr">
        <is>
          <t>Taller de Simulación de Negocios y Práctica Profesional</t>
        </is>
      </c>
      <c r="B41" s="9" t="inlineStr">
        <is>
          <t>NO</t>
        </is>
      </c>
      <c r="C41" s="9" t="inlineStr">
        <is>
          <t>NO</t>
        </is>
      </c>
      <c r="D41" s="10" t="inlineStr">
        <is>
          <t>Tramo Superior / Seminarios</t>
        </is>
      </c>
      <c r="E41" s="10">
        <f>IF(B41="SI", "REGULAR", "PENDIENTE")</f>
        <v/>
      </c>
      <c r="F41" s="10">
        <f>IF(C41="SI", "APROBADO", IF(B41="SI", "ADEUDA FINAL", "ADEUDA"))</f>
        <v/>
      </c>
      <c r="G41" s="11">
        <f>IF(C41="SI", "🟢 Aprobada", IF(B41="SI", "🟡 Regular", "🟣 Pendiente"))</f>
        <v/>
      </c>
    </row>
  </sheetData>
  <mergeCells count="15">
    <mergeCell ref="A13:G13"/>
    <mergeCell ref="I12:J12"/>
    <mergeCell ref="A1:G1"/>
    <mergeCell ref="I15:J15"/>
    <mergeCell ref="I10:J10"/>
    <mergeCell ref="A22:G22"/>
    <mergeCell ref="I1:K1"/>
    <mergeCell ref="I11:J11"/>
    <mergeCell ref="A30:G30"/>
    <mergeCell ref="A2:G2"/>
    <mergeCell ref="A38:G38"/>
    <mergeCell ref="I13:J13"/>
    <mergeCell ref="I14:J14"/>
    <mergeCell ref="I9:J9"/>
    <mergeCell ref="A5:G5"/>
  </mergeCells>
  <dataValidations count="1">
    <dataValidation sqref="B6 B7 B8 B9 B10 B11 B12 B14 B15 B16 B17 B18 B19 B20 B21 B23 B24 B25 B26 B27 B28 B29 B31 B32 B33 B34 B35 B36 B37 B39 B40 B41 C6 C7 C8 C9 C10 C11 C12 C14 C15 C16 C17 C18 C19 C20 C21 C23 C24 C25 C26 C27 C28 C29 C31 C32 C33 C34 C35 C36 C37 C39 C40 C41"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2026-08-31T01:11:54Z</dcterms:created>
  <dcterms:modified xmlns:dcterms="http://purl.org/dc/terms/" xmlns:xsi="http://www.w3.org/2001/XMLSchema-instance" xsi:type="dcterms:W3CDTF">2026-08-31T01:11:54Z</dcterms:modified>
</cp:coreProperties>
</file>