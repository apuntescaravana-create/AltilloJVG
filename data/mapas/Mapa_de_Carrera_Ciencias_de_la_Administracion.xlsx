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DE LA ADMINISTRACIÓN</t>
        </is>
      </c>
      <c r="I1" s="2" t="inlineStr">
        <is>
          <t>CONTROL DE TRAYECTORIA</t>
        </is>
      </c>
    </row>
    <row r="2" ht="22" customHeight="1">
      <c r="A2" s="3" t="inlineStr">
        <is>
          <t>La Caravana + Estudiantes Independientes | Altillo JVG - ISP Joaquín V. González</t>
        </is>
      </c>
      <c r="I2" s="4" t="inlineStr">
        <is>
          <t>Total de Materias del Plan</t>
        </is>
      </c>
      <c r="J2" s="5" t="n">
        <v>40</v>
      </c>
    </row>
    <row r="3" ht="22" customHeight="1">
      <c r="I3" s="4" t="inlineStr">
        <is>
          <t>Materias con Cursada Regular</t>
        </is>
      </c>
      <c r="J3" s="5">
        <f>COUNTIF(B6:B50,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COUNTIF(C6:C50, "SI")</f>
        <v/>
      </c>
    </row>
    <row r="5" ht="22" customHeight="1">
      <c r="A5" s="7" t="inlineStr">
        <is>
          <t>📌 1° AÑO</t>
        </is>
      </c>
      <c r="I5" s="4" t="inlineStr">
        <is>
          <t>Finales Adeudados</t>
        </is>
      </c>
      <c r="J5" s="5">
        <f>COUNTIF(F6:F50, "ADEUDA FINAL")</f>
        <v/>
      </c>
    </row>
    <row r="6" ht="22" customHeight="1">
      <c r="A6" s="8" t="inlineStr">
        <is>
          <t>Sistemas de Información Contable</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COUNTIF(B6:B50, "SI")/40</f>
        <v/>
      </c>
    </row>
    <row r="7" ht="22" customHeight="1">
      <c r="A7" s="8" t="inlineStr">
        <is>
          <t>Análisis Matemático</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COUNTIF(C6:C50, "SI")/40</f>
        <v/>
      </c>
    </row>
    <row r="8" ht="20" customHeight="1">
      <c r="A8" s="8" t="inlineStr">
        <is>
          <t>Derecho Público</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Introducción a la Economía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Historia Económica General y Argentina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Pedagogía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Psicología educacional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Sujetos de la enseñanza</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Pricipios de administración</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Estadística</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Derecho civil y societario</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Didactica general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Filosofía</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Geografía económica</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Lectura, escritura y oralidad 2</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Trabajo de Campo II</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2" customHeight="1">
      <c r="A25" s="7" t="inlineStr">
        <is>
          <t>📌 3° AÑO</t>
        </is>
      </c>
    </row>
    <row r="26" ht="20" customHeight="1">
      <c r="A26" s="8" t="inlineStr">
        <is>
          <t>Contabilidad de gestión y costos</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Régimen tributario y laboral</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Derecho comercial y Económico</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Didáctica Específica de las Ciencias de la Administración y Constr. de la Práctica Docente</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Historia de la educación Argentina</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DD HH, sociedad y estado</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Matemática financiera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2" customHeight="1">
      <c r="A33" s="7" t="inlineStr">
        <is>
          <t>📌 4° AÑO</t>
        </is>
      </c>
    </row>
    <row r="34" ht="20" customHeight="1">
      <c r="A34" s="8" t="inlineStr">
        <is>
          <t>Administración estratégica</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Taller diseño y gestión de organizaciones</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Taller de nuevas tecnologias</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Metodología de la investigación</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Sistema y política educativa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Aplicativos informáticos</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Didáctica de la educación superior</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Didactica de educación a distancia</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Comercialización y marketing</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Administración de recursos humanos</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2" customHeight="1">
      <c r="A44" s="7" t="inlineStr">
        <is>
          <t>📌 5° AÑO</t>
        </is>
      </c>
    </row>
    <row r="45" ht="20" customHeight="1">
      <c r="A45" s="8" t="inlineStr">
        <is>
          <t>Taller de lengua extranjera - ingles</t>
        </is>
      </c>
      <c r="B45" s="9" t="inlineStr">
        <is>
          <t>NO</t>
        </is>
      </c>
      <c r="C45" s="9" t="inlineStr">
        <is>
          <t>NO</t>
        </is>
      </c>
      <c r="D45" s="10" t="inlineStr">
        <is>
          <t>5° Año</t>
        </is>
      </c>
      <c r="E45" s="10">
        <f>IF(B45="SI", "REGULAR", "PENDIENTE")</f>
        <v/>
      </c>
      <c r="F45" s="10">
        <f>IF(C45="SI", "APROBADO", IF(B45="SI", "ADEUDA FINAL", "ADEUDA"))</f>
        <v/>
      </c>
      <c r="G45" s="11">
        <f>IF(C45="SI", "🟢 Aprobada", IF(B45="SI", "🟡 Regular", "🟣 Pendiente"))</f>
        <v/>
      </c>
    </row>
    <row r="46" ht="20" customHeight="1">
      <c r="A46" s="8" t="inlineStr">
        <is>
          <t>Taller de informática</t>
        </is>
      </c>
      <c r="B46" s="9" t="inlineStr">
        <is>
          <t>NO</t>
        </is>
      </c>
      <c r="C46" s="9" t="inlineStr">
        <is>
          <t>NO</t>
        </is>
      </c>
      <c r="D46" s="10" t="inlineStr">
        <is>
          <t>5° Año</t>
        </is>
      </c>
      <c r="E46" s="10">
        <f>IF(B46="SI", "REGULAR", "PENDIENTE")</f>
        <v/>
      </c>
      <c r="F46" s="10">
        <f>IF(C46="SI", "APROBADO", IF(B46="SI", "ADEUDA FINAL", "ADEUDA"))</f>
        <v/>
      </c>
      <c r="G46" s="11">
        <f>IF(C46="SI", "🟢 Aprobada", IF(B46="SI", "🟡 Regular", "🟣 Pendiente"))</f>
        <v/>
      </c>
    </row>
    <row r="47" ht="20" customHeight="1">
      <c r="A47" s="8" t="inlineStr">
        <is>
          <t>Esi</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Construccion de la practica docente 2</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2" customHeight="1">
      <c r="A49" s="7" t="inlineStr">
        <is>
          <t>📌 TRAMO SUPERIOR / SEMINARIOS</t>
        </is>
      </c>
    </row>
    <row r="50" ht="20" customHeight="1">
      <c r="A50" s="8" t="inlineStr">
        <is>
          <t>Taller optativo: Valuación contable</t>
        </is>
      </c>
      <c r="B50" s="9" t="inlineStr">
        <is>
          <t>NO</t>
        </is>
      </c>
      <c r="C50" s="9" t="inlineStr">
        <is>
          <t>NO</t>
        </is>
      </c>
      <c r="D50" s="10" t="inlineStr">
        <is>
          <t>Tramo Superior / Seminarios</t>
        </is>
      </c>
      <c r="E50" s="10">
        <f>IF(B50="SI", "REGULAR", "PENDIENTE")</f>
        <v/>
      </c>
      <c r="F50" s="10">
        <f>IF(C50="SI", "APROBADO", IF(B50="SI", "ADEUDA FINAL", "ADEUDA"))</f>
        <v/>
      </c>
      <c r="G50" s="11">
        <f>IF(C50="SI", "🟢 Aprobada", IF(B50="SI", "🟡 Regular", "🟣 Pendiente"))</f>
        <v/>
      </c>
    </row>
  </sheetData>
  <mergeCells count="16">
    <mergeCell ref="I14:J14"/>
    <mergeCell ref="A44:G44"/>
    <mergeCell ref="I12:J12"/>
    <mergeCell ref="A1:G1"/>
    <mergeCell ref="I15:J15"/>
    <mergeCell ref="I10:J10"/>
    <mergeCell ref="I1:K1"/>
    <mergeCell ref="I11:J11"/>
    <mergeCell ref="A16:G16"/>
    <mergeCell ref="A2:G2"/>
    <mergeCell ref="I13:J13"/>
    <mergeCell ref="A25:G25"/>
    <mergeCell ref="A33:G33"/>
    <mergeCell ref="A49:G49"/>
    <mergeCell ref="I9:J9"/>
    <mergeCell ref="A5:G5"/>
  </mergeCells>
  <dataValidations count="1">
    <dataValidation sqref="B6 B7 B8 B9 B10 B11 B12 B13 B14 B15 B17 B18 B19 B20 B21 B22 B23 B24 B26 B27 B28 B29 B30 B31 B32 B34 B35 B36 B37 B38 B39 B40 B41 B42 B43 B45 B46 B47 B48 B50 C6 C7 C8 C9 C10 C11 C12 C13 C14 C15 C17 C18 C19 C20 C21 C22 C23 C24 C26 C27 C28 C29 C30 C31 C32 C34 C35 C36 C37 C38 C39 C40 C41 C42 C43 C45 C46 C47 C48 C50"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