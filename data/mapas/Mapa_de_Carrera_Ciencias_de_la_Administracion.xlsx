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pa de Carrera"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4"/>
    </font>
    <font>
      <name val="Arial"/>
      <i val="1"/>
      <color rgb="00BAE6FD"/>
      <sz val="10"/>
    </font>
    <font>
      <name val="Arial"/>
      <b val="1"/>
      <color rgb="00FFFFFF"/>
      <sz val="10"/>
    </font>
    <font>
      <name val="Arial"/>
      <b val="1"/>
      <color rgb="00FFFFFF"/>
      <sz val="11"/>
    </font>
    <font>
      <name val="Arial"/>
      <sz val="10"/>
    </font>
    <font>
      <name val="Arial"/>
      <b val="1"/>
      <sz val="10"/>
    </font>
    <font>
      <name val="Arial"/>
      <b val="1"/>
      <color rgb="000B2545"/>
      <sz val="11"/>
    </font>
    <font>
      <name val="Arial"/>
      <i val="1"/>
      <sz val="8.5"/>
    </font>
  </fonts>
  <fills count="9">
    <fill>
      <patternFill/>
    </fill>
    <fill>
      <patternFill patternType="gray125"/>
    </fill>
    <fill>
      <patternFill patternType="solid">
        <fgColor rgb="000B2545"/>
        <bgColor rgb="000B2545"/>
      </patternFill>
    </fill>
    <fill>
      <patternFill patternType="solid">
        <fgColor rgb="000284C7"/>
        <bgColor rgb="000284C7"/>
      </patternFill>
    </fill>
    <fill>
      <patternFill patternType="solid">
        <fgColor rgb="00134074"/>
        <bgColor rgb="00134074"/>
      </patternFill>
    </fill>
    <fill>
      <patternFill patternType="solid">
        <fgColor rgb="00F0F9FF"/>
        <bgColor rgb="00F0F9FF"/>
      </patternFill>
    </fill>
    <fill>
      <patternFill patternType="solid">
        <fgColor rgb="00F8FAFC"/>
        <bgColor rgb="00F8FAFC"/>
      </patternFill>
    </fill>
    <fill>
      <patternFill patternType="solid">
        <fgColor rgb="00DCFCE7"/>
        <bgColor rgb="00DCFCE7"/>
      </patternFill>
    </fill>
    <fill>
      <patternFill patternType="solid">
        <fgColor rgb="00D99B26"/>
        <bgColor rgb="00D99B26"/>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xf>
    <xf numFmtId="0" fontId="4" fillId="2" borderId="0" applyAlignment="1" pivotButton="0" quotePrefix="0" xfId="0">
      <alignment horizontal="center" vertical="center"/>
    </xf>
    <xf numFmtId="0" fontId="2" fillId="2" borderId="0" applyAlignment="1" pivotButton="0" quotePrefix="0" xfId="0">
      <alignment horizontal="center" vertical="center"/>
    </xf>
    <xf numFmtId="0" fontId="6" fillId="6" borderId="1" pivotButton="0" quotePrefix="0" xfId="0"/>
    <xf numFmtId="0" fontId="7" fillId="5" borderId="1" applyAlignment="1" pivotButton="0" quotePrefix="0" xfId="0">
      <alignment horizontal="center" vertical="center"/>
    </xf>
    <xf numFmtId="0" fontId="3" fillId="3" borderId="1" applyAlignment="1" pivotButton="0" quotePrefix="0" xfId="0">
      <alignment horizontal="center" vertical="center" wrapText="1"/>
    </xf>
    <xf numFmtId="0" fontId="4" fillId="4" borderId="0" applyAlignment="1" pivotButton="0" quotePrefix="0" xfId="0">
      <alignment horizontal="left" vertical="center" indent="1"/>
    </xf>
    <xf numFmtId="0" fontId="5" fillId="0" borderId="1" applyAlignment="1" pivotButton="0" quotePrefix="0" xfId="0">
      <alignment horizontal="left" vertical="center" indent="1"/>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164" fontId="7" fillId="7" borderId="1" applyAlignment="1" pivotButton="0" quotePrefix="0" xfId="0">
      <alignment horizontal="center" vertical="center"/>
    </xf>
    <xf numFmtId="0" fontId="3" fillId="8" borderId="0" applyAlignment="1" pivotButton="0" quotePrefix="0" xfId="0">
      <alignment horizontal="center" vertical="center"/>
    </xf>
    <xf numFmtId="0" fontId="8"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34"/>
  <sheetViews>
    <sheetView workbookViewId="0">
      <selection activeCell="A1" sqref="A1"/>
    </sheetView>
  </sheetViews>
  <sheetFormatPr baseColWidth="8" defaultRowHeight="15"/>
  <cols>
    <col width="54" customWidth="1" min="1" max="1"/>
    <col width="16" customWidth="1" min="2" max="2"/>
    <col width="16" customWidth="1" min="3" max="3"/>
    <col width="22" customWidth="1" min="4" max="4"/>
    <col width="20" customWidth="1" min="5" max="5"/>
    <col width="20" customWidth="1" min="6" max="6"/>
    <col width="18" customWidth="1" min="7" max="7"/>
    <col width="4" customWidth="1" min="8" max="8"/>
    <col width="30" customWidth="1" min="9" max="9"/>
    <col width="14" customWidth="1" min="10" max="10"/>
    <col width="4" customWidth="1" min="11" max="11"/>
  </cols>
  <sheetData>
    <row r="1" ht="32" customHeight="1">
      <c r="A1" s="1" t="inlineStr">
        <is>
          <t>MAPA DE CARRERA | PROFESORADO DE CIENCIAS DE LA ADMINISTRACIÓN</t>
        </is>
      </c>
      <c r="I1" s="2" t="inlineStr">
        <is>
          <t>CONTROL DE TRAYECTORIA</t>
        </is>
      </c>
    </row>
    <row r="2" ht="22" customHeight="1">
      <c r="A2" s="3" t="inlineStr">
        <is>
          <t>La Caravana + Estudiantes Independientes | Altillo JVG - ISP Joaquín V. González</t>
        </is>
      </c>
      <c r="I2" s="4" t="inlineStr">
        <is>
          <t>Total de Materias del Plan</t>
        </is>
      </c>
      <c r="J2" s="5" t="n">
        <v>24</v>
      </c>
    </row>
    <row r="3" ht="22" customHeight="1">
      <c r="I3" s="4" t="inlineStr">
        <is>
          <t>Materias con Cursada Regular</t>
        </is>
      </c>
      <c r="J3" s="5">
        <f>COUNTIF(B6:B34, "SI")</f>
        <v/>
      </c>
    </row>
    <row r="4" ht="22" customHeight="1">
      <c r="A4" s="6" t="inlineStr">
        <is>
          <t>Materia / Asignatura Oficial</t>
        </is>
      </c>
      <c r="B4" s="6" t="inlineStr">
        <is>
          <t>Cursada Regular</t>
        </is>
      </c>
      <c r="C4" s="6" t="inlineStr">
        <is>
          <t>Final Aprobado</t>
        </is>
      </c>
      <c r="D4" s="6" t="inlineStr">
        <is>
          <t>Año / Tramo</t>
        </is>
      </c>
      <c r="E4" s="6" t="inlineStr">
        <is>
          <t>Condición Cursada</t>
        </is>
      </c>
      <c r="F4" s="6" t="inlineStr">
        <is>
          <t>Condición Final</t>
        </is>
      </c>
      <c r="G4" s="6" t="inlineStr">
        <is>
          <t>Estado General</t>
        </is>
      </c>
      <c r="I4" s="4" t="inlineStr">
        <is>
          <t>Finales / Materias Aprobadas</t>
        </is>
      </c>
      <c r="J4" s="5">
        <f>COUNTIF(C6:C34, "SI")</f>
        <v/>
      </c>
    </row>
    <row r="5" ht="22" customHeight="1">
      <c r="A5" s="7" t="inlineStr">
        <is>
          <t>📌 1° AÑO</t>
        </is>
      </c>
      <c r="I5" s="4" t="inlineStr">
        <is>
          <t>Finales Adeudados</t>
        </is>
      </c>
      <c r="J5" s="5">
        <f>COUNTIF(F6:F34, "ADEUDA FINAL")</f>
        <v/>
      </c>
    </row>
    <row r="6" ht="22" customHeight="1">
      <c r="A6" s="8" t="inlineStr">
        <is>
          <t>Pedagogía</t>
        </is>
      </c>
      <c r="B6" s="9" t="inlineStr">
        <is>
          <t>NO</t>
        </is>
      </c>
      <c r="C6" s="9" t="inlineStr">
        <is>
          <t>NO</t>
        </is>
      </c>
      <c r="D6" s="10" t="inlineStr">
        <is>
          <t>1° Año</t>
        </is>
      </c>
      <c r="E6" s="10">
        <f>IF(B6="SI", "REGULAR", "PENDIENTE")</f>
        <v/>
      </c>
      <c r="F6" s="10">
        <f>IF(C6="SI", "APROBADO", IF(B6="SI", "ADEUDA FINAL", "ADEUDA"))</f>
        <v/>
      </c>
      <c r="G6" s="11">
        <f>IF(C6="SI", "🟢 Aprobada", IF(B6="SI", "🟡 Regular", "🟣 Pendiente"))</f>
        <v/>
      </c>
      <c r="I6" s="4" t="inlineStr">
        <is>
          <t>% Cursadas Completadas</t>
        </is>
      </c>
      <c r="J6" s="12">
        <f>COUNTIF(B6:B34, "SI")/24</f>
        <v/>
      </c>
    </row>
    <row r="7" ht="22" customHeight="1">
      <c r="A7" s="8" t="inlineStr">
        <is>
          <t>Didáctica General</t>
        </is>
      </c>
      <c r="B7" s="9" t="inlineStr">
        <is>
          <t>NO</t>
        </is>
      </c>
      <c r="C7" s="9" t="inlineStr">
        <is>
          <t>NO</t>
        </is>
      </c>
      <c r="D7" s="10" t="inlineStr">
        <is>
          <t>1° Año</t>
        </is>
      </c>
      <c r="E7" s="10">
        <f>IF(B7="SI", "REGULAR", "PENDIENTE")</f>
        <v/>
      </c>
      <c r="F7" s="10">
        <f>IF(C7="SI", "APROBADO", IF(B7="SI", "ADEUDA FINAL", "ADEUDA"))</f>
        <v/>
      </c>
      <c r="G7" s="11">
        <f>IF(C7="SI", "🟢 Aprobada", IF(B7="SI", "🟡 Regular", "🟣 Pendiente"))</f>
        <v/>
      </c>
      <c r="I7" s="4" t="inlineStr">
        <is>
          <t>% Carrera Aprobada (Finales)</t>
        </is>
      </c>
      <c r="J7" s="12">
        <f>COUNTIF(C6:C34, "SI")/24</f>
        <v/>
      </c>
    </row>
    <row r="8" ht="20" customHeight="1">
      <c r="A8" s="8" t="inlineStr">
        <is>
          <t>Introducción a la Disciplina</t>
        </is>
      </c>
      <c r="B8" s="9" t="inlineStr">
        <is>
          <t>NO</t>
        </is>
      </c>
      <c r="C8" s="9" t="inlineStr">
        <is>
          <t>NO</t>
        </is>
      </c>
      <c r="D8" s="10" t="inlineStr">
        <is>
          <t>1° Año</t>
        </is>
      </c>
      <c r="E8" s="10">
        <f>IF(B8="SI", "REGULAR", "PENDIENTE")</f>
        <v/>
      </c>
      <c r="F8" s="10">
        <f>IF(C8="SI", "APROBADO", IF(B8="SI", "ADEUDA FINAL", "ADEUDA"))</f>
        <v/>
      </c>
      <c r="G8" s="11">
        <f>IF(C8="SI", "🟢 Aprobada", IF(B8="SI", "🟡 Regular", "🟣 Pendiente"))</f>
        <v/>
      </c>
    </row>
    <row r="9" ht="20" customHeight="1">
      <c r="A9" s="8" t="inlineStr">
        <is>
          <t>Práctica Docente I</t>
        </is>
      </c>
      <c r="B9" s="9" t="inlineStr">
        <is>
          <t>NO</t>
        </is>
      </c>
      <c r="C9" s="9" t="inlineStr">
        <is>
          <t>NO</t>
        </is>
      </c>
      <c r="D9" s="10" t="inlineStr">
        <is>
          <t>1° Año</t>
        </is>
      </c>
      <c r="E9" s="10">
        <f>IF(B9="SI", "REGULAR", "PENDIENTE")</f>
        <v/>
      </c>
      <c r="F9" s="10">
        <f>IF(C9="SI", "APROBADO", IF(B9="SI", "ADEUDA FINAL", "ADEUDA"))</f>
        <v/>
      </c>
      <c r="G9" s="11">
        <f>IF(C9="SI", "🟢 Aprobada", IF(B9="SI", "🟡 Regular", "🟣 Pendiente"))</f>
        <v/>
      </c>
      <c r="I9" s="13" t="inlineStr">
        <is>
          <t>INSTRUCCIONES DE USO</t>
        </is>
      </c>
    </row>
    <row r="10" ht="20" customHeight="1">
      <c r="A10" s="7" t="inlineStr">
        <is>
          <t>📌 2° AÑO</t>
        </is>
      </c>
      <c r="I10" s="14" t="inlineStr">
        <is>
          <t>1. Hace clic en la celda y elegi 'SI' o 'NO' desde el menu desplegable.</t>
        </is>
      </c>
    </row>
    <row r="11" ht="20" customHeight="1">
      <c r="A11" s="8" t="inlineStr">
        <is>
          <t>Psicología Educacional</t>
        </is>
      </c>
      <c r="B11" s="9" t="inlineStr">
        <is>
          <t>NO</t>
        </is>
      </c>
      <c r="C11" s="9" t="inlineStr">
        <is>
          <t>NO</t>
        </is>
      </c>
      <c r="D11" s="10" t="inlineStr">
        <is>
          <t>2° Año</t>
        </is>
      </c>
      <c r="E11" s="10">
        <f>IF(B11="SI", "REGULAR", "PENDIENTE")</f>
        <v/>
      </c>
      <c r="F11" s="10">
        <f>IF(C11="SI", "APROBADO", IF(B11="SI", "ADEUDA FINAL", "ADEUDA"))</f>
        <v/>
      </c>
      <c r="G11" s="11">
        <f>IF(C11="SI", "🟢 Aprobada", IF(B11="SI", "🟡 Regular", "🟣 Pendiente"))</f>
        <v/>
      </c>
      <c r="I11" s="14" t="inlineStr">
        <is>
          <t>2. Columna B: Marca 'SI' si tenes la cursada regular aprobada.</t>
        </is>
      </c>
    </row>
    <row r="12" ht="20" customHeight="1">
      <c r="A12" s="8" t="inlineStr">
        <is>
          <t>Sociología de la Educación</t>
        </is>
      </c>
      <c r="B12" s="9" t="inlineStr">
        <is>
          <t>NO</t>
        </is>
      </c>
      <c r="C12" s="9" t="inlineStr">
        <is>
          <t>NO</t>
        </is>
      </c>
      <c r="D12" s="10" t="inlineStr">
        <is>
          <t>2° Año</t>
        </is>
      </c>
      <c r="E12" s="10">
        <f>IF(B12="SI", "REGULAR", "PENDIENTE")</f>
        <v/>
      </c>
      <c r="F12" s="10">
        <f>IF(C12="SI", "APROBADO", IF(B12="SI", "ADEUDA FINAL", "ADEUDA"))</f>
        <v/>
      </c>
      <c r="G12" s="11">
        <f>IF(C12="SI", "🟢 Aprobada", IF(B12="SI", "🟡 Regular", "🟣 Pendiente"))</f>
        <v/>
      </c>
      <c r="I12" s="14" t="inlineStr">
        <is>
          <t>3. Columna C: Marca 'SI' si aprobaste el final o promocionaste.</t>
        </is>
      </c>
    </row>
    <row r="13" ht="20" customHeight="1">
      <c r="A13" s="8" t="inlineStr">
        <is>
          <t>Sujetos de la Educación</t>
        </is>
      </c>
      <c r="B13" s="9" t="inlineStr">
        <is>
          <t>NO</t>
        </is>
      </c>
      <c r="C13" s="9" t="inlineStr">
        <is>
          <t>NO</t>
        </is>
      </c>
      <c r="D13" s="10" t="inlineStr">
        <is>
          <t>2° Año</t>
        </is>
      </c>
      <c r="E13" s="10">
        <f>IF(B13="SI", "REGULAR", "PENDIENTE")</f>
        <v/>
      </c>
      <c r="F13" s="10">
        <f>IF(C13="SI", "APROBADO", IF(B13="SI", "ADEUDA FINAL", "ADEUDA"))</f>
        <v/>
      </c>
      <c r="G13" s="11">
        <f>IF(C13="SI", "🟢 Aprobada", IF(B13="SI", "🟡 Regular", "🟣 Pendiente"))</f>
        <v/>
      </c>
      <c r="I13" s="14" t="inlineStr">
        <is>
          <t>4. Las columnas E, F y G se actualizan automaticamente en tiempo real.</t>
        </is>
      </c>
    </row>
    <row r="14" ht="20" customHeight="1">
      <c r="A14" s="8" t="inlineStr">
        <is>
          <t>Práctica Docente II</t>
        </is>
      </c>
      <c r="B14" s="9" t="inlineStr">
        <is>
          <t>NO</t>
        </is>
      </c>
      <c r="C14" s="9" t="inlineStr">
        <is>
          <t>NO</t>
        </is>
      </c>
      <c r="D14" s="10" t="inlineStr">
        <is>
          <t>2° Año</t>
        </is>
      </c>
      <c r="E14" s="10">
        <f>IF(B14="SI", "REGULAR", "PENDIENTE")</f>
        <v/>
      </c>
      <c r="F14" s="10">
        <f>IF(C14="SI", "APROBADO", IF(B14="SI", "ADEUDA FINAL", "ADEUDA"))</f>
        <v/>
      </c>
      <c r="G14" s="11">
        <f>IF(C14="SI", "🟢 Aprobada", IF(B14="SI", "🟡 Regular", "🟣 Pendiente"))</f>
        <v/>
      </c>
      <c r="I14" s="14" t="inlineStr">
        <is>
          <t>5. El panel lateral calcula tu avance y porcentaje de carrera en vivo.</t>
        </is>
      </c>
    </row>
    <row r="15" ht="20" customHeight="1">
      <c r="A15" s="7" t="inlineStr">
        <is>
          <t>📌 3° AÑO</t>
        </is>
      </c>
      <c r="I15" s="14" t="inlineStr">
        <is>
          <t>6. Podes subir el archivo a tu Google Drive personal para editarlo online.</t>
        </is>
      </c>
    </row>
    <row r="16" ht="20" customHeight="1">
      <c r="A16" s="8" t="inlineStr">
        <is>
          <t>Historia Social de la Educación</t>
        </is>
      </c>
      <c r="B16" s="9" t="inlineStr">
        <is>
          <t>NO</t>
        </is>
      </c>
      <c r="C16" s="9" t="inlineStr">
        <is>
          <t>NO</t>
        </is>
      </c>
      <c r="D16" s="10" t="inlineStr">
        <is>
          <t>3° Año</t>
        </is>
      </c>
      <c r="E16" s="10">
        <f>IF(B16="SI", "REGULAR", "PENDIENTE")</f>
        <v/>
      </c>
      <c r="F16" s="10">
        <f>IF(C16="SI", "APROBADO", IF(B16="SI", "ADEUDA FINAL", "ADEUDA"))</f>
        <v/>
      </c>
      <c r="G16" s="11">
        <f>IF(C16="SI", "🟢 Aprobada", IF(B16="SI", "🟡 Regular", "🟣 Pendiente"))</f>
        <v/>
      </c>
    </row>
    <row r="17" ht="20" customHeight="1">
      <c r="A17" s="8" t="inlineStr">
        <is>
          <t>Residencia I</t>
        </is>
      </c>
      <c r="B17" s="9" t="inlineStr">
        <is>
          <t>NO</t>
        </is>
      </c>
      <c r="C17" s="9" t="inlineStr">
        <is>
          <t>NO</t>
        </is>
      </c>
      <c r="D17" s="10" t="inlineStr">
        <is>
          <t>3° Año</t>
        </is>
      </c>
      <c r="E17" s="10">
        <f>IF(B17="SI", "REGULAR", "PENDIENTE")</f>
        <v/>
      </c>
      <c r="F17" s="10">
        <f>IF(C17="SI", "APROBADO", IF(B17="SI", "ADEUDA FINAL", "ADEUDA"))</f>
        <v/>
      </c>
      <c r="G17" s="11">
        <f>IF(C17="SI", "🟢 Aprobada", IF(B17="SI", "🟡 Regular", "🟣 Pendiente"))</f>
        <v/>
      </c>
    </row>
    <row r="18" ht="20" customHeight="1">
      <c r="A18" s="8" t="inlineStr">
        <is>
          <t>Espacio de Definición Institucional</t>
        </is>
      </c>
      <c r="B18" s="9" t="inlineStr">
        <is>
          <t>NO</t>
        </is>
      </c>
      <c r="C18" s="9" t="inlineStr">
        <is>
          <t>NO</t>
        </is>
      </c>
      <c r="D18" s="10" t="inlineStr">
        <is>
          <t>3° Año</t>
        </is>
      </c>
      <c r="E18" s="10">
        <f>IF(B18="SI", "REGULAR", "PENDIENTE")</f>
        <v/>
      </c>
      <c r="F18" s="10">
        <f>IF(C18="SI", "APROBADO", IF(B18="SI", "ADEUDA FINAL", "ADEUDA"))</f>
        <v/>
      </c>
      <c r="G18" s="11">
        <f>IF(C18="SI", "🟢 Aprobada", IF(B18="SI", "🟡 Regular", "🟣 Pendiente"))</f>
        <v/>
      </c>
    </row>
    <row r="19" ht="20" customHeight="1">
      <c r="A19" s="8" t="inlineStr">
        <is>
          <t>Práctica Docente III</t>
        </is>
      </c>
      <c r="B19" s="9" t="inlineStr">
        <is>
          <t>NO</t>
        </is>
      </c>
      <c r="C19" s="9" t="inlineStr">
        <is>
          <t>NO</t>
        </is>
      </c>
      <c r="D19" s="10" t="inlineStr">
        <is>
          <t>3° Año</t>
        </is>
      </c>
      <c r="E19" s="10">
        <f>IF(B19="SI", "REGULAR", "PENDIENTE")</f>
        <v/>
      </c>
      <c r="F19" s="10">
        <f>IF(C19="SI", "APROBADO", IF(B19="SI", "ADEUDA FINAL", "ADEUDA"))</f>
        <v/>
      </c>
      <c r="G19" s="11">
        <f>IF(C19="SI", "🟢 Aprobada", IF(B19="SI", "🟡 Regular", "🟣 Pendiente"))</f>
        <v/>
      </c>
    </row>
    <row r="20" ht="22" customHeight="1">
      <c r="A20" s="7" t="inlineStr">
        <is>
          <t>📌 4° AÑO</t>
        </is>
      </c>
    </row>
    <row r="21" ht="20" customHeight="1">
      <c r="A21" s="8" t="inlineStr">
        <is>
          <t>Residencia II / Taller de Cierre</t>
        </is>
      </c>
      <c r="B21" s="9" t="inlineStr">
        <is>
          <t>NO</t>
        </is>
      </c>
      <c r="C21" s="9" t="inlineStr">
        <is>
          <t>NO</t>
        </is>
      </c>
      <c r="D21" s="10" t="inlineStr">
        <is>
          <t>4° Año</t>
        </is>
      </c>
      <c r="E21" s="10">
        <f>IF(B21="SI", "REGULAR", "PENDIENTE")</f>
        <v/>
      </c>
      <c r="F21" s="10">
        <f>IF(C21="SI", "APROBADO", IF(B21="SI", "ADEUDA FINAL", "ADEUDA"))</f>
        <v/>
      </c>
      <c r="G21" s="11">
        <f>IF(C21="SI", "🟢 Aprobada", IF(B21="SI", "🟡 Regular", "🟣 Pendiente"))</f>
        <v/>
      </c>
    </row>
    <row r="22" ht="20" customHeight="1">
      <c r="A22" s="8" t="inlineStr">
        <is>
          <t>Ética y Trabajo Docente</t>
        </is>
      </c>
      <c r="B22" s="9" t="inlineStr">
        <is>
          <t>NO</t>
        </is>
      </c>
      <c r="C22" s="9" t="inlineStr">
        <is>
          <t>NO</t>
        </is>
      </c>
      <c r="D22" s="10" t="inlineStr">
        <is>
          <t>4° Año</t>
        </is>
      </c>
      <c r="E22" s="10">
        <f>IF(B22="SI", "REGULAR", "PENDIENTE")</f>
        <v/>
      </c>
      <c r="F22" s="10">
        <f>IF(C22="SI", "APROBADO", IF(B22="SI", "ADEUDA FINAL", "ADEUDA"))</f>
        <v/>
      </c>
      <c r="G22" s="11">
        <f>IF(C22="SI", "🟢 Aprobada", IF(B22="SI", "🟡 Regular", "🟣 Pendiente"))</f>
        <v/>
      </c>
    </row>
    <row r="23" ht="20" customHeight="1">
      <c r="A23" s="8" t="inlineStr">
        <is>
          <t>Investigación Educativa</t>
        </is>
      </c>
      <c r="B23" s="9" t="inlineStr">
        <is>
          <t>NO</t>
        </is>
      </c>
      <c r="C23" s="9" t="inlineStr">
        <is>
          <t>NO</t>
        </is>
      </c>
      <c r="D23" s="10" t="inlineStr">
        <is>
          <t>4° Año</t>
        </is>
      </c>
      <c r="E23" s="10">
        <f>IF(B23="SI", "REGULAR", "PENDIENTE")</f>
        <v/>
      </c>
      <c r="F23" s="10">
        <f>IF(C23="SI", "APROBADO", IF(B23="SI", "ADEUDA FINAL", "ADEUDA"))</f>
        <v/>
      </c>
      <c r="G23" s="11">
        <f>IF(C23="SI", "🟢 Aprobada", IF(B23="SI", "🟡 Regular", "🟣 Pendiente"))</f>
        <v/>
      </c>
    </row>
    <row r="24" ht="20" customHeight="1">
      <c r="A24" s="8" t="inlineStr">
        <is>
          <t>Práctica Docente IV</t>
        </is>
      </c>
      <c r="B24" s="9" t="inlineStr">
        <is>
          <t>NO</t>
        </is>
      </c>
      <c r="C24" s="9" t="inlineStr">
        <is>
          <t>NO</t>
        </is>
      </c>
      <c r="D24" s="10" t="inlineStr">
        <is>
          <t>4° Año</t>
        </is>
      </c>
      <c r="E24" s="10">
        <f>IF(B24="SI", "REGULAR", "PENDIENTE")</f>
        <v/>
      </c>
      <c r="F24" s="10">
        <f>IF(C24="SI", "APROBADO", IF(B24="SI", "ADEUDA FINAL", "ADEUDA"))</f>
        <v/>
      </c>
      <c r="G24" s="11">
        <f>IF(C24="SI", "🟢 Aprobada", IF(B24="SI", "🟡 Regular", "🟣 Pendiente"))</f>
        <v/>
      </c>
    </row>
    <row r="25" ht="22" customHeight="1">
      <c r="A25" s="7" t="inlineStr">
        <is>
          <t>📌 5° AÑO (NIVEL SUPERIOR / TRAMO SUPERIOR)</t>
        </is>
      </c>
    </row>
    <row r="26" ht="20" customHeight="1">
      <c r="A26" s="8" t="inlineStr">
        <is>
          <t>Seminario de Especialización Superior I</t>
        </is>
      </c>
      <c r="B26" s="9" t="inlineStr">
        <is>
          <t>NO</t>
        </is>
      </c>
      <c r="C26" s="9" t="inlineStr">
        <is>
          <t>NO</t>
        </is>
      </c>
      <c r="D26" s="10" t="inlineStr">
        <is>
          <t>5° Año (Nivel Superior / Tramo Superior)</t>
        </is>
      </c>
      <c r="E26" s="10">
        <f>IF(B26="SI", "REGULAR", "PENDIENTE")</f>
        <v/>
      </c>
      <c r="F26" s="10">
        <f>IF(C26="SI", "APROBADO", IF(B26="SI", "ADEUDA FINAL", "ADEUDA"))</f>
        <v/>
      </c>
      <c r="G26" s="11">
        <f>IF(C26="SI", "🟢 Aprobada", IF(B26="SI", "🟡 Regular", "🟣 Pendiente"))</f>
        <v/>
      </c>
    </row>
    <row r="27" ht="20" customHeight="1">
      <c r="A27" s="8" t="inlineStr">
        <is>
          <t>Taller de Investigación Aplicada</t>
        </is>
      </c>
      <c r="B27" s="9" t="inlineStr">
        <is>
          <t>NO</t>
        </is>
      </c>
      <c r="C27" s="9" t="inlineStr">
        <is>
          <t>NO</t>
        </is>
      </c>
      <c r="D27" s="10" t="inlineStr">
        <is>
          <t>5° Año (Nivel Superior / Tramo Superior)</t>
        </is>
      </c>
      <c r="E27" s="10">
        <f>IF(B27="SI", "REGULAR", "PENDIENTE")</f>
        <v/>
      </c>
      <c r="F27" s="10">
        <f>IF(C27="SI", "APROBADO", IF(B27="SI", "ADEUDA FINAL", "ADEUDA"))</f>
        <v/>
      </c>
      <c r="G27" s="11">
        <f>IF(C27="SI", "🟢 Aprobada", IF(B27="SI", "🟡 Regular", "🟣 Pendiente"))</f>
        <v/>
      </c>
    </row>
    <row r="28" ht="20" customHeight="1">
      <c r="A28" s="8" t="inlineStr">
        <is>
          <t>Didáctica de Nivel Superior</t>
        </is>
      </c>
      <c r="B28" s="9" t="inlineStr">
        <is>
          <t>NO</t>
        </is>
      </c>
      <c r="C28" s="9" t="inlineStr">
        <is>
          <t>NO</t>
        </is>
      </c>
      <c r="D28" s="10" t="inlineStr">
        <is>
          <t>5° Año (Nivel Superior / Tramo Superior)</t>
        </is>
      </c>
      <c r="E28" s="10">
        <f>IF(B28="SI", "REGULAR", "PENDIENTE")</f>
        <v/>
      </c>
      <c r="F28" s="10">
        <f>IF(C28="SI", "APROBADO", IF(B28="SI", "ADEUDA FINAL", "ADEUDA"))</f>
        <v/>
      </c>
      <c r="G28" s="11">
        <f>IF(C28="SI", "🟢 Aprobada", IF(B28="SI", "🟡 Regular", "🟣 Pendiente"))</f>
        <v/>
      </c>
    </row>
    <row r="29" ht="20" customHeight="1">
      <c r="A29" s="8" t="inlineStr">
        <is>
          <t>Práctica de Nivel Superior I</t>
        </is>
      </c>
      <c r="B29" s="9" t="inlineStr">
        <is>
          <t>NO</t>
        </is>
      </c>
      <c r="C29" s="9" t="inlineStr">
        <is>
          <t>NO</t>
        </is>
      </c>
      <c r="D29" s="10" t="inlineStr">
        <is>
          <t>5° Año (Nivel Superior / Tramo Superior)</t>
        </is>
      </c>
      <c r="E29" s="10">
        <f>IF(B29="SI", "REGULAR", "PENDIENTE")</f>
        <v/>
      </c>
      <c r="F29" s="10">
        <f>IF(C29="SI", "APROBADO", IF(B29="SI", "ADEUDA FINAL", "ADEUDA"))</f>
        <v/>
      </c>
      <c r="G29" s="11">
        <f>IF(C29="SI", "🟢 Aprobada", IF(B29="SI", "🟡 Regular", "🟣 Pendiente"))</f>
        <v/>
      </c>
    </row>
    <row r="30" ht="22" customHeight="1">
      <c r="A30" s="7" t="inlineStr">
        <is>
          <t>📌 6° AÑO (NIVEL SUPERIOR / TRAMO SUPERIOR)</t>
        </is>
      </c>
    </row>
    <row r="31" ht="20" customHeight="1">
      <c r="A31" s="8" t="inlineStr">
        <is>
          <t>Seminario de Especialización Superior II</t>
        </is>
      </c>
      <c r="B31" s="9" t="inlineStr">
        <is>
          <t>NO</t>
        </is>
      </c>
      <c r="C31" s="9" t="inlineStr">
        <is>
          <t>NO</t>
        </is>
      </c>
      <c r="D31" s="10" t="inlineStr">
        <is>
          <t>6° Año (Nivel Superior / Tramo Superior)</t>
        </is>
      </c>
      <c r="E31" s="10">
        <f>IF(B31="SI", "REGULAR", "PENDIENTE")</f>
        <v/>
      </c>
      <c r="F31" s="10">
        <f>IF(C31="SI", "APROBADO", IF(B31="SI", "ADEUDA FINAL", "ADEUDA"))</f>
        <v/>
      </c>
      <c r="G31" s="11">
        <f>IF(C31="SI", "🟢 Aprobada", IF(B31="SI", "🟡 Regular", "🟣 Pendiente"))</f>
        <v/>
      </c>
    </row>
    <row r="32" ht="20" customHeight="1">
      <c r="A32" s="8" t="inlineStr">
        <is>
          <t>Tesis / Trabajo Final de Licenciatura</t>
        </is>
      </c>
      <c r="B32" s="9" t="inlineStr">
        <is>
          <t>NO</t>
        </is>
      </c>
      <c r="C32" s="9" t="inlineStr">
        <is>
          <t>NO</t>
        </is>
      </c>
      <c r="D32" s="10" t="inlineStr">
        <is>
          <t>6° Año (Nivel Superior / Tramo Superior)</t>
        </is>
      </c>
      <c r="E32" s="10">
        <f>IF(B32="SI", "REGULAR", "PENDIENTE")</f>
        <v/>
      </c>
      <c r="F32" s="10">
        <f>IF(C32="SI", "APROBADO", IF(B32="SI", "ADEUDA FINAL", "ADEUDA"))</f>
        <v/>
      </c>
      <c r="G32" s="11">
        <f>IF(C32="SI", "🟢 Aprobada", IF(B32="SI", "🟡 Regular", "🟣 Pendiente"))</f>
        <v/>
      </c>
    </row>
    <row r="33" ht="20" customHeight="1">
      <c r="A33" s="8" t="inlineStr">
        <is>
          <t>Práctica de Nivel Superior II</t>
        </is>
      </c>
      <c r="B33" s="9" t="inlineStr">
        <is>
          <t>NO</t>
        </is>
      </c>
      <c r="C33" s="9" t="inlineStr">
        <is>
          <t>NO</t>
        </is>
      </c>
      <c r="D33" s="10" t="inlineStr">
        <is>
          <t>6° Año (Nivel Superior / Tramo Superior)</t>
        </is>
      </c>
      <c r="E33" s="10">
        <f>IF(B33="SI", "REGULAR", "PENDIENTE")</f>
        <v/>
      </c>
      <c r="F33" s="10">
        <f>IF(C33="SI", "APROBADO", IF(B33="SI", "ADEUDA FINAL", "ADEUDA"))</f>
        <v/>
      </c>
      <c r="G33" s="11">
        <f>IF(C33="SI", "🟢 Aprobada", IF(B33="SI", "🟡 Regular", "🟣 Pendiente"))</f>
        <v/>
      </c>
    </row>
    <row r="34" ht="20" customHeight="1">
      <c r="A34" s="8" t="inlineStr">
        <is>
          <t>Acreditación de Residencia Superior</t>
        </is>
      </c>
      <c r="B34" s="9" t="inlineStr">
        <is>
          <t>NO</t>
        </is>
      </c>
      <c r="C34" s="9" t="inlineStr">
        <is>
          <t>NO</t>
        </is>
      </c>
      <c r="D34" s="10" t="inlineStr">
        <is>
          <t>6° Año (Nivel Superior / Tramo Superior)</t>
        </is>
      </c>
      <c r="E34" s="10">
        <f>IF(B34="SI", "REGULAR", "PENDIENTE")</f>
        <v/>
      </c>
      <c r="F34" s="10">
        <f>IF(C34="SI", "APROBADO", IF(B34="SI", "ADEUDA FINAL", "ADEUDA"))</f>
        <v/>
      </c>
      <c r="G34" s="11">
        <f>IF(C34="SI", "🟢 Aprobada", IF(B34="SI", "🟡 Regular", "🟣 Pendiente"))</f>
        <v/>
      </c>
    </row>
  </sheetData>
  <mergeCells count="16">
    <mergeCell ref="I14:J14"/>
    <mergeCell ref="I12:J12"/>
    <mergeCell ref="A1:G1"/>
    <mergeCell ref="I15:J15"/>
    <mergeCell ref="I10:J10"/>
    <mergeCell ref="I1:K1"/>
    <mergeCell ref="I11:J11"/>
    <mergeCell ref="A20:G20"/>
    <mergeCell ref="A30:G30"/>
    <mergeCell ref="A2:G2"/>
    <mergeCell ref="A15:G15"/>
    <mergeCell ref="I13:J13"/>
    <mergeCell ref="A25:G25"/>
    <mergeCell ref="I9:J9"/>
    <mergeCell ref="A10:G10"/>
    <mergeCell ref="A5:G5"/>
  </mergeCells>
  <dataValidations count="1">
    <dataValidation sqref="B6 B7 B8 B9 B11 B12 B13 B14 B16 B17 B18 B19 B21 B22 B23 B24 B26 B27 B28 B29 B31 B32 B33 B34 C6 C7 C8 C9 C11 C12 C13 C14 C16 C17 C18 C19 C21 C22 C23 C24 C26 C27 C28 C29 C31 C32 C33 C34" showDropDown="0" showInputMessage="0" showErrorMessage="0" allowBlank="1" errorTitle="Opción inválida" error="Por favor, elegí 'SI' o 'NO' de la lista desplegable."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2026-08-31T00:38:50Z</dcterms:created>
  <dcterms:modified xmlns:dcterms="http://purl.org/dc/terms/" xmlns:xsi="http://www.w3.org/2001/XMLSchema-instance" xsi:type="dcterms:W3CDTF">2026-08-31T00:38:50Z</dcterms:modified>
</cp:coreProperties>
</file>