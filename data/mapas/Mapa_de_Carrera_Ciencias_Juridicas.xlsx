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CIENCIAS JURÍDICAS</t>
        </is>
      </c>
      <c r="I1" s="2" t="inlineStr">
        <is>
          <t>CONTROL DE TRAYECTORIA</t>
        </is>
      </c>
    </row>
    <row r="2" ht="22" customHeight="1">
      <c r="A2" s="3" t="inlineStr">
        <is>
          <t>La Caravana + Estudiantes Independientes | Altillo JVG - ISP Joaquín V. González</t>
        </is>
      </c>
      <c r="I2" s="4" t="inlineStr">
        <is>
          <t>Total de Materias del Plan</t>
        </is>
      </c>
      <c r="J2" s="5" t="n">
        <v>41</v>
      </c>
    </row>
    <row r="3" ht="22" customHeight="1">
      <c r="I3" s="4" t="inlineStr">
        <is>
          <t>Materias con Cursada Regular</t>
        </is>
      </c>
      <c r="J3" s="5">
        <f>COUNTIF(B6:B50,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COUNTIF(C6:C50, "SI")</f>
        <v/>
      </c>
    </row>
    <row r="5" ht="22" customHeight="1">
      <c r="A5" s="7" t="inlineStr">
        <is>
          <t>📌 1° AÑO</t>
        </is>
      </c>
      <c r="I5" s="4" t="inlineStr">
        <is>
          <t>Finales Adeudados</t>
        </is>
      </c>
      <c r="J5" s="5">
        <f>COUNTIF(F6:F50, "ADEUDA FINAL")</f>
        <v/>
      </c>
    </row>
    <row r="6" ht="22" customHeight="1">
      <c r="A6" s="8" t="inlineStr">
        <is>
          <t>Derecho político</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COUNTIF(B6:B50, "SI")/41</f>
        <v/>
      </c>
    </row>
    <row r="7" ht="22" customHeight="1">
      <c r="A7" s="8" t="inlineStr">
        <is>
          <t>Historia de las instituciones Argentinas 1</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COUNTIF(C6:C50, "SI")/41</f>
        <v/>
      </c>
    </row>
    <row r="8" ht="20" customHeight="1">
      <c r="A8" s="8" t="inlineStr">
        <is>
          <t>Historia de las ideas e instituciones politicas</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Historia de los hechos y de las ideas económicas</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Introducción al derecho</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Taller de expresión oral y escrita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Pedagogia general</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Sociología general</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Psicologia del desarrollo y del aprendizaje</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Derecho privado 1</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Historia de las instituciones Argentinas 2</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Derecho penal y criminalidad</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Economía política</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Derecho constitucional</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Derechos humanos y garantias</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Didactica General</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Introducción a la filosofía</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Taller de expresión oral y escrita 2</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Trabajo de Campo II</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2" customHeight="1">
      <c r="A27" s="7" t="inlineStr">
        <is>
          <t>📌 3° AÑO</t>
        </is>
      </c>
    </row>
    <row r="28" ht="20" customHeight="1">
      <c r="A28" s="8" t="inlineStr">
        <is>
          <t>Derecho privado 2</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Derecho administrativo y municipal</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Elementos de derecho procesal y régimen legal de concursos y quiebras</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Relaciones laborales y seguridad social</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Demografía, ecología y geografía humana</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Didactica especifica 1 y trabajo de campo 3</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Estado, sociedad y DDHH</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Historia mundial contemporanea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2" customHeight="1">
      <c r="A36" s="7" t="inlineStr">
        <is>
          <t>📌 4° AÑO</t>
        </is>
      </c>
    </row>
    <row r="37" ht="20" customHeight="1">
      <c r="A37" s="8" t="inlineStr">
        <is>
          <t>Derecho internacional público</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Derecho ambiental y de los recursos naturales</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2" customHeight="1">
      <c r="A39" s="7" t="inlineStr">
        <is>
          <t>📌 TRAMO SUPERIOR / SEMINARIOS</t>
        </is>
      </c>
    </row>
    <row r="40" ht="20" customHeight="1">
      <c r="A40" s="8" t="inlineStr">
        <is>
          <t>Psicología social y jurídica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Derecho de las comunicaciones de los transportes</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Nociones de etica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row r="43" ht="20" customHeight="1">
      <c r="A43" s="8" t="inlineStr">
        <is>
          <t>Historia social de la educación</t>
        </is>
      </c>
      <c r="B43" s="9" t="inlineStr">
        <is>
          <t>NO</t>
        </is>
      </c>
      <c r="C43" s="9" t="inlineStr">
        <is>
          <t>NO</t>
        </is>
      </c>
      <c r="D43" s="10" t="inlineStr">
        <is>
          <t>Tramo Superior / Seminarios</t>
        </is>
      </c>
      <c r="E43" s="10">
        <f>IF(B43="SI", "REGULAR", "PENDIENTE")</f>
        <v/>
      </c>
      <c r="F43" s="10">
        <f>IF(C43="SI", "APROBADO", IF(B43="SI", "ADEUDA FINAL", "ADEUDA"))</f>
        <v/>
      </c>
      <c r="G43" s="11">
        <f>IF(C43="SI", "🟢 Aprobada", IF(B43="SI", "🟡 Regular", "🟣 Pendiente"))</f>
        <v/>
      </c>
    </row>
    <row r="44" ht="20" customHeight="1">
      <c r="A44" s="8" t="inlineStr">
        <is>
          <t>Didáctica específica 2 y residencia</t>
        </is>
      </c>
      <c r="B44" s="9" t="inlineStr">
        <is>
          <t>NO</t>
        </is>
      </c>
      <c r="C44" s="9" t="inlineStr">
        <is>
          <t>NO</t>
        </is>
      </c>
      <c r="D44" s="10" t="inlineStr">
        <is>
          <t>Tramo Superior / Seminarios</t>
        </is>
      </c>
      <c r="E44" s="10">
        <f>IF(B44="SI", "REGULAR", "PENDIENTE")</f>
        <v/>
      </c>
      <c r="F44" s="10">
        <f>IF(C44="SI", "APROBADO", IF(B44="SI", "ADEUDA FINAL", "ADEUDA"))</f>
        <v/>
      </c>
      <c r="G44" s="11">
        <f>IF(C44="SI", "🟢 Aprobada", IF(B44="SI", "🟡 Regular", "🟣 Pendiente"))</f>
        <v/>
      </c>
    </row>
    <row r="45" ht="20" customHeight="1">
      <c r="A45" s="8" t="inlineStr">
        <is>
          <t>Política educacional y legislación escolar</t>
        </is>
      </c>
      <c r="B45" s="9" t="inlineStr">
        <is>
          <t>NO</t>
        </is>
      </c>
      <c r="C45" s="9" t="inlineStr">
        <is>
          <t>NO</t>
        </is>
      </c>
      <c r="D45" s="10" t="inlineStr">
        <is>
          <t>Tramo Superior / Seminarios</t>
        </is>
      </c>
      <c r="E45" s="10">
        <f>IF(B45="SI", "REGULAR", "PENDIENTE")</f>
        <v/>
      </c>
      <c r="F45" s="10">
        <f>IF(C45="SI", "APROBADO", IF(B45="SI", "ADEUDA FINAL", "ADEUDA"))</f>
        <v/>
      </c>
      <c r="G45" s="11">
        <f>IF(C45="SI", "🟢 Aprobada", IF(B45="SI", "🟡 Regular", "🟣 Pendiente"))</f>
        <v/>
      </c>
    </row>
    <row r="46" ht="20" customHeight="1">
      <c r="A46" s="8" t="inlineStr">
        <is>
          <t>Finanzas y legislación impositiva</t>
        </is>
      </c>
      <c r="B46" s="9" t="inlineStr">
        <is>
          <t>NO</t>
        </is>
      </c>
      <c r="C46" s="9" t="inlineStr">
        <is>
          <t>NO</t>
        </is>
      </c>
      <c r="D46" s="10" t="inlineStr">
        <is>
          <t>Tramo Superior / Seminarios</t>
        </is>
      </c>
      <c r="E46" s="10">
        <f>IF(B46="SI", "REGULAR", "PENDIENTE")</f>
        <v/>
      </c>
      <c r="F46" s="10">
        <f>IF(C46="SI", "APROBADO", IF(B46="SI", "ADEUDA FINAL", "ADEUDA"))</f>
        <v/>
      </c>
      <c r="G46" s="11">
        <f>IF(C46="SI", "🟢 Aprobada", IF(B46="SI", "🟡 Regular", "🟣 Pendiente"))</f>
        <v/>
      </c>
    </row>
    <row r="47" ht="20" customHeight="1">
      <c r="A47" s="8" t="inlineStr">
        <is>
          <t>Taller optativo: El adulto como sujeto del aprendizaje</t>
        </is>
      </c>
      <c r="B47" s="9" t="inlineStr">
        <is>
          <t>NO</t>
        </is>
      </c>
      <c r="C47" s="9" t="inlineStr">
        <is>
          <t>NO</t>
        </is>
      </c>
      <c r="D47" s="10" t="inlineStr">
        <is>
          <t>Tramo Superior / Seminarios</t>
        </is>
      </c>
      <c r="E47" s="10">
        <f>IF(B47="SI", "REGULAR", "PENDIENTE")</f>
        <v/>
      </c>
      <c r="F47" s="10">
        <f>IF(C47="SI", "APROBADO", IF(B47="SI", "ADEUDA FINAL", "ADEUDA"))</f>
        <v/>
      </c>
      <c r="G47" s="11">
        <f>IF(C47="SI", "🟢 Aprobada", IF(B47="SI", "🟡 Regular", "🟣 Pendiente"))</f>
        <v/>
      </c>
    </row>
    <row r="48" ht="20" customHeight="1">
      <c r="A48" s="8" t="inlineStr">
        <is>
          <t>Esi</t>
        </is>
      </c>
      <c r="B48" s="9" t="inlineStr">
        <is>
          <t>NO</t>
        </is>
      </c>
      <c r="C48" s="9" t="inlineStr">
        <is>
          <t>NO</t>
        </is>
      </c>
      <c r="D48" s="10" t="inlineStr">
        <is>
          <t>Tramo Superior / Seminarios</t>
        </is>
      </c>
      <c r="E48" s="10">
        <f>IF(B48="SI", "REGULAR", "PENDIENTE")</f>
        <v/>
      </c>
      <c r="F48" s="10">
        <f>IF(C48="SI", "APROBADO", IF(B48="SI", "ADEUDA FINAL", "ADEUDA"))</f>
        <v/>
      </c>
      <c r="G48" s="11">
        <f>IF(C48="SI", "🟢 Aprobada", IF(B48="SI", "🟡 Regular", "🟣 Pendiente"))</f>
        <v/>
      </c>
    </row>
    <row r="49" ht="20" customHeight="1">
      <c r="A49" s="8" t="inlineStr">
        <is>
          <t>Politica educacional y legislación escolar</t>
        </is>
      </c>
      <c r="B49" s="9" t="inlineStr">
        <is>
          <t>NO</t>
        </is>
      </c>
      <c r="C49" s="9" t="inlineStr">
        <is>
          <t>NO</t>
        </is>
      </c>
      <c r="D49" s="10" t="inlineStr">
        <is>
          <t>Tramo Superior / Seminarios</t>
        </is>
      </c>
      <c r="E49" s="10">
        <f>IF(B49="SI", "REGULAR", "PENDIENTE")</f>
        <v/>
      </c>
      <c r="F49" s="10">
        <f>IF(C49="SI", "APROBADO", IF(B49="SI", "ADEUDA FINAL", "ADEUDA"))</f>
        <v/>
      </c>
      <c r="G49" s="11">
        <f>IF(C49="SI", "🟢 Aprobada", IF(B49="SI", "🟡 Regular", "🟣 Pendiente"))</f>
        <v/>
      </c>
    </row>
    <row r="50" ht="20" customHeight="1">
      <c r="A50" s="8" t="inlineStr">
        <is>
          <t>Para cursar Trabajo de campo 1 es necesario estar cursando o haber cursado: • Pedagogía general • Psicología del desarrollo y del aprendizaje</t>
        </is>
      </c>
      <c r="B50" s="9" t="inlineStr">
        <is>
          <t>NO</t>
        </is>
      </c>
      <c r="C50" s="9" t="inlineStr">
        <is>
          <t>NO</t>
        </is>
      </c>
      <c r="D50" s="10" t="inlineStr">
        <is>
          <t>Tramo Superior / Seminarios</t>
        </is>
      </c>
      <c r="E50" s="10">
        <f>IF(B50="SI", "REGULAR", "PENDIENTE")</f>
        <v/>
      </c>
      <c r="F50" s="10">
        <f>IF(C50="SI", "APROBADO", IF(B50="SI", "ADEUDA FINAL", "ADEUDA"))</f>
        <v/>
      </c>
      <c r="G50" s="11">
        <f>IF(C50="SI", "🟢 Aprobada", IF(B50="SI", "🟡 Regular", "🟣 Pendiente"))</f>
        <v/>
      </c>
    </row>
  </sheetData>
  <mergeCells count="15">
    <mergeCell ref="A36:G36"/>
    <mergeCell ref="I12:J12"/>
    <mergeCell ref="A1:G1"/>
    <mergeCell ref="A27:G27"/>
    <mergeCell ref="I15:J15"/>
    <mergeCell ref="I10:J10"/>
    <mergeCell ref="A39:G39"/>
    <mergeCell ref="I1:K1"/>
    <mergeCell ref="I11:J11"/>
    <mergeCell ref="A16:G16"/>
    <mergeCell ref="A2:G2"/>
    <mergeCell ref="I13:J13"/>
    <mergeCell ref="I14:J14"/>
    <mergeCell ref="I9:J9"/>
    <mergeCell ref="A5:G5"/>
  </mergeCells>
  <dataValidations count="1">
    <dataValidation sqref="B6 B7 B8 B9 B10 B11 B12 B13 B14 B15 B17 B18 B19 B20 B21 B22 B23 B24 B25 B26 B28 B29 B30 B31 B32 B33 B34 B35 B37 B38 B40 B41 B42 B43 B44 B45 B46 B47 B48 B49 B50 C6 C7 C8 C9 C10 C11 C12 C13 C14 C15 C17 C18 C19 C20 C21 C22 C23 C24 C25 C26 C28 C29 C30 C31 C32 C33 C34 C35 C37 C38 C40 C41 C42 C43 C44 C45 C46 C47 C48 C49 C50"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