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CIENCIAS JURÍDICAS</t>
        </is>
      </c>
      <c r="I1" s="2" t="inlineStr">
        <is>
          <t>CONTROL DE TRAYECTORIA</t>
        </is>
      </c>
    </row>
    <row r="2" ht="22" customHeight="1">
      <c r="A2" s="3" t="inlineStr">
        <is>
          <t>La Caravana + Estudiantes Independientes | Altillo JVG - ISP Joaquín V. González</t>
        </is>
      </c>
      <c r="I2" s="4" t="inlineStr">
        <is>
          <t>Total de Materias del Plan</t>
        </is>
      </c>
      <c r="J2" s="5" t="n">
        <v>32</v>
      </c>
    </row>
    <row r="3" ht="22" customHeight="1">
      <c r="I3" s="4" t="inlineStr">
        <is>
          <t>Materias con Cursada Regular</t>
        </is>
      </c>
      <c r="J3" s="5">
        <f>COUNTIF(B6:B41,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COUNTIF(C6:C41, "SI")</f>
        <v/>
      </c>
    </row>
    <row r="5" ht="22" customHeight="1">
      <c r="A5" s="7" t="inlineStr">
        <is>
          <t>📌 1° AÑO</t>
        </is>
      </c>
      <c r="I5" s="4" t="inlineStr">
        <is>
          <t>Finales Adeudados</t>
        </is>
      </c>
      <c r="J5" s="5">
        <f>COUNTIF(F6:F41, "ADEUDA FINAL")</f>
        <v/>
      </c>
    </row>
    <row r="6" ht="22" customHeight="1">
      <c r="A6" s="8" t="inlineStr">
        <is>
          <t>Introducción al Derecho y Teoría General</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COUNTIF(B6:B41, "SI")/32</f>
        <v/>
      </c>
    </row>
    <row r="7" ht="22" customHeight="1">
      <c r="A7" s="8" t="inlineStr">
        <is>
          <t>Derecho Político y Teoría del Estado</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COUNTIF(C6:C41, "SI")/32</f>
        <v/>
      </c>
    </row>
    <row r="8" ht="20" customHeight="1">
      <c r="A8" s="8" t="inlineStr">
        <is>
          <t>Historia de las Ideas e Instituciones Políticas</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Sociología Jurídica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Derecho Constitucional y Garantías</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Derechos Humanos y Derecho Internacional de los DD.HH.</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Derecho Privado I (Parte General y Personas)</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Derecho Penal I (Parte General)</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Psicología Educacional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Sujetos de la Educación</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Trabajo de Campo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2" customHeight="1">
      <c r="A22" s="7" t="inlineStr">
        <is>
          <t>📌 3° AÑO</t>
        </is>
      </c>
    </row>
    <row r="23" ht="20" customHeight="1">
      <c r="A23" s="8" t="inlineStr">
        <is>
          <t>Derecho Privado II (Obligaciones y Contratos)</t>
        </is>
      </c>
      <c r="B23" s="9" t="inlineStr">
        <is>
          <t>NO</t>
        </is>
      </c>
      <c r="C23" s="9" t="inlineStr">
        <is>
          <t>NO</t>
        </is>
      </c>
      <c r="D23" s="10" t="inlineStr">
        <is>
          <t>3° Año</t>
        </is>
      </c>
      <c r="E23" s="10">
        <f>IF(B23="SI", "REGULAR", "PENDIENTE")</f>
        <v/>
      </c>
      <c r="F23" s="10">
        <f>IF(C23="SI", "APROBADO", IF(B23="SI", "ADEUDA FINAL", "ADEUDA"))</f>
        <v/>
      </c>
      <c r="G23" s="11">
        <f>IF(C23="SI", "🟢 Aprobada", IF(B23="SI", "🟡 Regular", "🟣 Pendiente"))</f>
        <v/>
      </c>
    </row>
    <row r="24" ht="20" customHeight="1">
      <c r="A24" s="8" t="inlineStr">
        <is>
          <t>Derecho Administrativo</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Derecho del Trabajo y Relaciones Laborales</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Didáctica de las Ciencias Jurídicas I</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Elementos de Derecho Procesal</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Historia Social de la Educación</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Construcción de la Práctica Docente 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2" customHeight="1">
      <c r="A30" s="7" t="inlineStr">
        <is>
          <t>📌 4° AÑO</t>
        </is>
      </c>
    </row>
    <row r="31" ht="20" customHeight="1">
      <c r="A31" s="8" t="inlineStr">
        <is>
          <t>Derecho Internacional Público y de la Integración</t>
        </is>
      </c>
      <c r="B31" s="9" t="inlineStr">
        <is>
          <t>NO</t>
        </is>
      </c>
      <c r="C31" s="9" t="inlineStr">
        <is>
          <t>NO</t>
        </is>
      </c>
      <c r="D31" s="10" t="inlineStr">
        <is>
          <t>4° Año</t>
        </is>
      </c>
      <c r="E31" s="10">
        <f>IF(B31="SI", "REGULAR", "PENDIENTE")</f>
        <v/>
      </c>
      <c r="F31" s="10">
        <f>IF(C31="SI", "APROBADO", IF(B31="SI", "ADEUDA FINAL", "ADEUDA"))</f>
        <v/>
      </c>
      <c r="G31" s="11">
        <f>IF(C31="SI", "🟢 Aprobada", IF(B31="SI", "🟡 Regular", "🟣 Pendiente"))</f>
        <v/>
      </c>
    </row>
    <row r="32" ht="20" customHeight="1">
      <c r="A32" s="8" t="inlineStr">
        <is>
          <t>Finanzas Públicas y Derecho Tributario</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Derecho Ambiental y de los Recursos Naturales</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Didáctica de las Ciencias Jurídicas II</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Educación Sexual Integral (ESI)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Ética y Trabajo Docente</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Residencia y Construcción de la Práctica Docente II</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2" customHeight="1">
      <c r="A38" s="7" t="inlineStr">
        <is>
          <t>📌 TRAMO SUPERIOR / SEMINARIOS</t>
        </is>
      </c>
    </row>
    <row r="39" ht="20" customHeight="1">
      <c r="A39" s="8" t="inlineStr">
        <is>
          <t>Seminario de Derecho Constitucional Profundizado</t>
        </is>
      </c>
      <c r="B39" s="9" t="inlineStr">
        <is>
          <t>NO</t>
        </is>
      </c>
      <c r="C39" s="9" t="inlineStr">
        <is>
          <t>NO</t>
        </is>
      </c>
      <c r="D39" s="10" t="inlineStr">
        <is>
          <t>Tramo Superior / Seminarios</t>
        </is>
      </c>
      <c r="E39" s="10">
        <f>IF(B39="SI", "REGULAR", "PENDIENTE")</f>
        <v/>
      </c>
      <c r="F39" s="10">
        <f>IF(C39="SI", "APROBADO", IF(B39="SI", "ADEUDA FINAL", "ADEUDA"))</f>
        <v/>
      </c>
      <c r="G39" s="11">
        <f>IF(C39="SI", "🟢 Aprobada", IF(B39="SI", "🟡 Regular", "🟣 Pendiente"))</f>
        <v/>
      </c>
    </row>
    <row r="40" ht="20" customHeight="1">
      <c r="A40" s="8" t="inlineStr">
        <is>
          <t>Seminario de Género y Sistema de Justicia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Taller de Práctica Forense y Litigación Educativa</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sheetData>
  <mergeCells count="15">
    <mergeCell ref="A13:G13"/>
    <mergeCell ref="I12:J12"/>
    <mergeCell ref="A1:G1"/>
    <mergeCell ref="I15:J15"/>
    <mergeCell ref="I10:J10"/>
    <mergeCell ref="A22:G22"/>
    <mergeCell ref="I1:K1"/>
    <mergeCell ref="I11:J11"/>
    <mergeCell ref="A30:G30"/>
    <mergeCell ref="A2:G2"/>
    <mergeCell ref="A38:G38"/>
    <mergeCell ref="I13:J13"/>
    <mergeCell ref="I14:J14"/>
    <mergeCell ref="I9:J9"/>
    <mergeCell ref="A5:G5"/>
  </mergeCells>
  <dataValidations count="1">
    <dataValidation sqref="B6 B7 B8 B9 B10 B11 B12 B14 B15 B16 B17 B18 B19 B20 B21 B23 B24 B25 B26 B27 B28 B29 B31 B32 B33 B34 B35 B36 B37 B39 B40 B41 C6 C7 C8 C9 C10 C11 C12 C14 C15 C16 C17 C18 C19 C20 C21 C23 C24 C25 C26 C27 C28 C29 C31 C32 C33 C34 C35 C36 C37 C39 C40 C4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2026-08-31T01:11:54Z</dcterms:modified>
</cp:coreProperties>
</file>