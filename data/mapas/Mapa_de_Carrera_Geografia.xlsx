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1"/>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GEOGRAFÍA</t>
        </is>
      </c>
      <c r="I1" s="2" t="inlineStr">
        <is>
          <t>CONTROL DE TRAYECTORIA</t>
        </is>
      </c>
    </row>
    <row r="2" ht="22" customHeight="1">
      <c r="A2" s="3" t="inlineStr">
        <is>
          <t>La Caravana + Estudiantes Independientes | Altillo JVG - ISP Joaquín V. González</t>
        </is>
      </c>
      <c r="I2" s="4" t="inlineStr">
        <is>
          <t>Total de Materias del Plan</t>
        </is>
      </c>
      <c r="J2" s="5" t="n">
        <v>42</v>
      </c>
    </row>
    <row r="3" ht="22" customHeight="1">
      <c r="I3" s="4" t="inlineStr">
        <is>
          <t>Materias con Cursada Regular</t>
        </is>
      </c>
      <c r="J3" s="5">
        <f>COUNTIF(B6:B51,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COUNTIF(C6:C51, "SI")</f>
        <v/>
      </c>
    </row>
    <row r="5" ht="22" customHeight="1">
      <c r="A5" s="7" t="inlineStr">
        <is>
          <t>📌 1° AÑO</t>
        </is>
      </c>
      <c r="I5" s="4" t="inlineStr">
        <is>
          <t>Finales Adeudados</t>
        </is>
      </c>
      <c r="J5" s="5">
        <f>COUNTIF(F6:F51, "ADEUDA FINAL")</f>
        <v/>
      </c>
    </row>
    <row r="6" ht="22" customHeight="1">
      <c r="A6" s="8" t="inlineStr">
        <is>
          <t>Ciencias de la tierra 1: Geologia y paleontologia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COUNTIF(B6:B51, "SI")/42</f>
        <v/>
      </c>
    </row>
    <row r="7" ht="22" customHeight="1">
      <c r="A7" s="8" t="inlineStr">
        <is>
          <t>Información Geográfica 1</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COUNTIF(C6:C51, "SI")/42</f>
        <v/>
      </c>
    </row>
    <row r="8" ht="20" customHeight="1">
      <c r="A8" s="8" t="inlineStr">
        <is>
          <t>Dinamica de los procesos climaticos</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Introdución a la geografía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Economía y territorios</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Pedagogía</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Psicología educacional</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Psicología del sujeto del nviel</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Historia mundial</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Trabajo de Campo I</t>
        </is>
      </c>
      <c r="B16" s="9" t="inlineStr">
        <is>
          <t>NO</t>
        </is>
      </c>
      <c r="C16" s="9" t="inlineStr">
        <is>
          <t>NO</t>
        </is>
      </c>
      <c r="D16" s="10" t="inlineStr">
        <is>
          <t>1° Año</t>
        </is>
      </c>
      <c r="E16" s="10">
        <f>IF(B16="SI", "REGULAR", "PENDIENTE")</f>
        <v/>
      </c>
      <c r="F16" s="10">
        <f>IF(C16="SI", "APROBADO", IF(B16="SI", "ADEUDA FINAL", "ADEUDA"))</f>
        <v/>
      </c>
      <c r="G16" s="11">
        <f>IF(C16="SI", "🟢 Aprobada", IF(B16="SI", "🟡 Regular", "🟣 Pendiente"))</f>
        <v/>
      </c>
    </row>
    <row r="17" ht="22" customHeight="1">
      <c r="A17" s="7" t="inlineStr">
        <is>
          <t>📌 2° AÑO</t>
        </is>
      </c>
    </row>
    <row r="18" ht="20" customHeight="1">
      <c r="A18" s="8" t="inlineStr">
        <is>
          <t>Posicionamiento espacial y geomatico</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Geografía Política</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Ciencias de la tierra 2</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Ecología y biogeografía</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Geografía Económica Mundial</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Territorios 1: America latina y anglosajona</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Didáctica general</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Trabajo de Campo II</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Historia social latinoamericana</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2" customHeight="1">
      <c r="A27" s="7" t="inlineStr">
        <is>
          <t>📌 3° AÑO</t>
        </is>
      </c>
    </row>
    <row r="28" ht="20" customHeight="1">
      <c r="A28" s="8" t="inlineStr">
        <is>
          <t>Información geográfica 2</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Territorios 2: Europa</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Geografia de la Argentina 1</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Geografia de la Argentina 2</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Construcción de la práctica docente y enseñanza de la geografía 1</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Historia de la educación Argentina</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Lectura, Escritura y Oralidad II (LEO 2)</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Filosofía</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DDHH, sociedad y estado</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2" customHeight="1">
      <c r="A37" s="7" t="inlineStr">
        <is>
          <t>📌 4° AÑO</t>
        </is>
      </c>
    </row>
    <row r="38" ht="20" customHeight="1">
      <c r="A38" s="8" t="inlineStr">
        <is>
          <t>Epistemología e historia de la geografía</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Geografía de la Republica Argentina 3</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Geografía social</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Teledetección geográfica</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Problemáticas socioambientales</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2" customHeight="1">
      <c r="A43" s="7" t="inlineStr">
        <is>
          <t>📌 TRAMO SUPERIOR / SEMINARIOS</t>
        </is>
      </c>
    </row>
    <row r="44" ht="20" customHeight="1">
      <c r="A44" s="8" t="inlineStr">
        <is>
          <t>Territorios 3: Asia</t>
        </is>
      </c>
      <c r="B44" s="9" t="inlineStr">
        <is>
          <t>NO</t>
        </is>
      </c>
      <c r="C44" s="9" t="inlineStr">
        <is>
          <t>NO</t>
        </is>
      </c>
      <c r="D44" s="10" t="inlineStr">
        <is>
          <t>Tramo Superior / Seminarios</t>
        </is>
      </c>
      <c r="E44" s="10">
        <f>IF(B44="SI", "REGULAR", "PENDIENTE")</f>
        <v/>
      </c>
      <c r="F44" s="10">
        <f>IF(C44="SI", "APROBADO", IF(B44="SI", "ADEUDA FINAL", "ADEUDA"))</f>
        <v/>
      </c>
      <c r="G44" s="11">
        <f>IF(C44="SI", "🟢 Aprobada", IF(B44="SI", "🟡 Regular", "🟣 Pendiente"))</f>
        <v/>
      </c>
    </row>
    <row r="45" ht="20" customHeight="1">
      <c r="A45" s="8" t="inlineStr">
        <is>
          <t>Geografía urbana y rural</t>
        </is>
      </c>
      <c r="B45" s="9" t="inlineStr">
        <is>
          <t>NO</t>
        </is>
      </c>
      <c r="C45" s="9" t="inlineStr">
        <is>
          <t>NO</t>
        </is>
      </c>
      <c r="D45" s="10" t="inlineStr">
        <is>
          <t>Tramo Superior / Seminarios</t>
        </is>
      </c>
      <c r="E45" s="10">
        <f>IF(B45="SI", "REGULAR", "PENDIENTE")</f>
        <v/>
      </c>
      <c r="F45" s="10">
        <f>IF(C45="SI", "APROBADO", IF(B45="SI", "ADEUDA FINAL", "ADEUDA"))</f>
        <v/>
      </c>
      <c r="G45" s="11">
        <f>IF(C45="SI", "🟢 Aprobada", IF(B45="SI", "🟡 Regular", "🟣 Pendiente"))</f>
        <v/>
      </c>
    </row>
    <row r="46" ht="20" customHeight="1">
      <c r="A46" s="8" t="inlineStr">
        <is>
          <t>Enseñanza de la geografía 2 y residemcia pedagógica</t>
        </is>
      </c>
      <c r="B46" s="9" t="inlineStr">
        <is>
          <t>NO</t>
        </is>
      </c>
      <c r="C46" s="9" t="inlineStr">
        <is>
          <t>NO</t>
        </is>
      </c>
      <c r="D46" s="10" t="inlineStr">
        <is>
          <t>Tramo Superior / Seminarios</t>
        </is>
      </c>
      <c r="E46" s="10">
        <f>IF(B46="SI", "REGULAR", "PENDIENTE")</f>
        <v/>
      </c>
      <c r="F46" s="10">
        <f>IF(C46="SI", "APROBADO", IF(B46="SI", "ADEUDA FINAL", "ADEUDA"))</f>
        <v/>
      </c>
      <c r="G46" s="11">
        <f>IF(C46="SI", "🟢 Aprobada", IF(B46="SI", "🟡 Regular", "🟣 Pendiente"))</f>
        <v/>
      </c>
    </row>
    <row r="47" ht="20" customHeight="1">
      <c r="A47" s="8" t="inlineStr">
        <is>
          <t>Territorios 4: Africa y Oceania</t>
        </is>
      </c>
      <c r="B47" s="9" t="inlineStr">
        <is>
          <t>NO</t>
        </is>
      </c>
      <c r="C47" s="9" t="inlineStr">
        <is>
          <t>NO</t>
        </is>
      </c>
      <c r="D47" s="10" t="inlineStr">
        <is>
          <t>Tramo Superior / Seminarios</t>
        </is>
      </c>
      <c r="E47" s="10">
        <f>IF(B47="SI", "REGULAR", "PENDIENTE")</f>
        <v/>
      </c>
      <c r="F47" s="10">
        <f>IF(C47="SI", "APROBADO", IF(B47="SI", "ADEUDA FINAL", "ADEUDA"))</f>
        <v/>
      </c>
      <c r="G47" s="11">
        <f>IF(C47="SI", "🟢 Aprobada", IF(B47="SI", "🟡 Regular", "🟣 Pendiente"))</f>
        <v/>
      </c>
    </row>
    <row r="48" ht="20" customHeight="1">
      <c r="A48" s="8" t="inlineStr">
        <is>
          <t>Nuevas tecnologias</t>
        </is>
      </c>
      <c r="B48" s="9" t="inlineStr">
        <is>
          <t>NO</t>
        </is>
      </c>
      <c r="C48" s="9" t="inlineStr">
        <is>
          <t>NO</t>
        </is>
      </c>
      <c r="D48" s="10" t="inlineStr">
        <is>
          <t>Tramo Superior / Seminarios</t>
        </is>
      </c>
      <c r="E48" s="10">
        <f>IF(B48="SI", "REGULAR", "PENDIENTE")</f>
        <v/>
      </c>
      <c r="F48" s="10">
        <f>IF(C48="SI", "APROBADO", IF(B48="SI", "ADEUDA FINAL", "ADEUDA"))</f>
        <v/>
      </c>
      <c r="G48" s="11">
        <f>IF(C48="SI", "🟢 Aprobada", IF(B48="SI", "🟡 Regular", "🟣 Pendiente"))</f>
        <v/>
      </c>
    </row>
    <row r="49" ht="20" customHeight="1">
      <c r="A49" s="8" t="inlineStr">
        <is>
          <t>Lengua extranjera: Portugues</t>
        </is>
      </c>
      <c r="B49" s="9" t="inlineStr">
        <is>
          <t>NO</t>
        </is>
      </c>
      <c r="C49" s="9" t="inlineStr">
        <is>
          <t>NO</t>
        </is>
      </c>
      <c r="D49" s="10" t="inlineStr">
        <is>
          <t>Tramo Superior / Seminarios</t>
        </is>
      </c>
      <c r="E49" s="10">
        <f>IF(B49="SI", "REGULAR", "PENDIENTE")</f>
        <v/>
      </c>
      <c r="F49" s="10">
        <f>IF(C49="SI", "APROBADO", IF(B49="SI", "ADEUDA FINAL", "ADEUDA"))</f>
        <v/>
      </c>
      <c r="G49" s="11">
        <f>IF(C49="SI", "🟢 Aprobada", IF(B49="SI", "🟡 Regular", "🟣 Pendiente"))</f>
        <v/>
      </c>
    </row>
    <row r="50" ht="20" customHeight="1">
      <c r="A50" s="8" t="inlineStr">
        <is>
          <t>Antropologia</t>
        </is>
      </c>
      <c r="B50" s="9" t="inlineStr">
        <is>
          <t>NO</t>
        </is>
      </c>
      <c r="C50" s="9" t="inlineStr">
        <is>
          <t>NO</t>
        </is>
      </c>
      <c r="D50" s="10" t="inlineStr">
        <is>
          <t>Tramo Superior / Seminarios</t>
        </is>
      </c>
      <c r="E50" s="10">
        <f>IF(B50="SI", "REGULAR", "PENDIENTE")</f>
        <v/>
      </c>
      <c r="F50" s="10">
        <f>IF(C50="SI", "APROBADO", IF(B50="SI", "ADEUDA FINAL", "ADEUDA"))</f>
        <v/>
      </c>
      <c r="G50" s="11">
        <f>IF(C50="SI", "🟢 Aprobada", IF(B50="SI", "🟡 Regular", "🟣 Pendiente"))</f>
        <v/>
      </c>
    </row>
    <row r="51" ht="20" customHeight="1">
      <c r="A51" s="8" t="inlineStr">
        <is>
          <t>Esi</t>
        </is>
      </c>
      <c r="B51" s="9" t="inlineStr">
        <is>
          <t>NO</t>
        </is>
      </c>
      <c r="C51" s="9" t="inlineStr">
        <is>
          <t>NO</t>
        </is>
      </c>
      <c r="D51" s="10" t="inlineStr">
        <is>
          <t>Tramo Superior / Seminarios</t>
        </is>
      </c>
      <c r="E51" s="10">
        <f>IF(B51="SI", "REGULAR", "PENDIENTE")</f>
        <v/>
      </c>
      <c r="F51" s="10">
        <f>IF(C51="SI", "APROBADO", IF(B51="SI", "ADEUDA FINAL", "ADEUDA"))</f>
        <v/>
      </c>
      <c r="G51" s="11">
        <f>IF(C51="SI", "🟢 Aprobada", IF(B51="SI", "🟡 Regular", "🟣 Pendiente"))</f>
        <v/>
      </c>
    </row>
  </sheetData>
  <mergeCells count="15">
    <mergeCell ref="I12:J12"/>
    <mergeCell ref="A1:G1"/>
    <mergeCell ref="A17:G17"/>
    <mergeCell ref="A27:G27"/>
    <mergeCell ref="I15:J15"/>
    <mergeCell ref="I10:J10"/>
    <mergeCell ref="I1:K1"/>
    <mergeCell ref="I11:J11"/>
    <mergeCell ref="A2:G2"/>
    <mergeCell ref="I13:J13"/>
    <mergeCell ref="I14:J14"/>
    <mergeCell ref="A43:G43"/>
    <mergeCell ref="I9:J9"/>
    <mergeCell ref="A5:G5"/>
    <mergeCell ref="A37:G37"/>
  </mergeCells>
  <dataValidations count="1">
    <dataValidation sqref="B6 B7 B8 B9 B10 B11 B12 B13 B14 B15 B16 B18 B19 B20 B21 B22 B23 B24 B25 B26 B28 B29 B30 B31 B32 B33 B34 B35 B36 B38 B39 B40 B41 B42 B44 B45 B46 B47 B48 B49 B50 B51 C6 C7 C8 C9 C10 C11 C12 C13 C14 C15 C16 C18 C19 C20 C21 C22 C23 C24 C25 C26 C28 C29 C30 C31 C32 C33 C34 C35 C36 C38 C39 C40 C41 C42 C44 C45 C46 C47 C48 C49 C50 C51"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