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LENGUA Y LITERATURA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50</v>
      </c>
    </row>
    <row r="5" ht="24" customHeight="1">
      <c r="A5" s="8" t="inlineStr">
        <is>
          <t>Pedagogía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COUNTIF(B4:B60, "S*") + COUNTIF(B4:B60, TRUE)</f>
        <v/>
      </c>
    </row>
    <row r="6" ht="24" customHeight="1">
      <c r="A6" s="11" t="inlineStr">
        <is>
          <t>Didáctica General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COUNTIF(C4:C60, "S*") + COUNTIF(C4:C60, TRUE)</f>
        <v/>
      </c>
    </row>
    <row r="7" ht="24" customHeight="1">
      <c r="A7" s="8" t="inlineStr">
        <is>
          <t>Introducción a la Disciplina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Práctica Docente I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J5/50</f>
        <v/>
      </c>
    </row>
    <row r="9" ht="24" customHeight="1">
      <c r="A9" s="5" t="inlineStr">
        <is>
          <t>📌 2° AÑO</t>
        </is>
      </c>
      <c r="I9" s="6" t="inlineStr">
        <is>
          <t>% Carrera Aprobada (Finales)</t>
        </is>
      </c>
      <c r="J9" s="13">
        <f>J6/50</f>
        <v/>
      </c>
    </row>
    <row r="10" ht="20" customHeight="1">
      <c r="A10" s="11" t="inlineStr">
        <is>
          <t>Psicología Educacional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2°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Sociología de la Educación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2°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Sujetos de la Educación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2°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Práctica Docente II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2°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5" t="inlineStr">
        <is>
          <t>📌 3° AÑO</t>
        </is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Historia Social de la Educación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3°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Residencia I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3°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Espacio de Definición Institucional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3°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Práctica Docente III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3°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4" customHeight="1">
      <c r="A19" s="5" t="inlineStr">
        <is>
          <t>📌 4° AÑO</t>
        </is>
      </c>
    </row>
    <row r="20" ht="20" customHeight="1">
      <c r="A20" s="11" t="inlineStr">
        <is>
          <t>Residencia II / Taller de Cierre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4°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Ética y Trabajo Docente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4°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Investigación Educativa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4°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Práctica Docente IV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4°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4" customHeight="1">
      <c r="A24" s="5" t="inlineStr">
        <is>
          <t>📌 5° AÑO (NIVEL SUPERIOR / TRAMO SUPERIOR)</t>
        </is>
      </c>
    </row>
    <row r="25" ht="20" customHeight="1">
      <c r="A25" s="8" t="inlineStr">
        <is>
          <t>Seminario de Especialización Superior I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5° Año (Nivel Superior / Tramo Superior)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Taller de Investigación Aplicada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5° Año (Nivel Superior / Tramo Superior)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Didáctica de Nivel Superior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5° Año (Nivel Superior / Tramo Superior)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Práctica de Nivel Superior I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5° Año (Nivel Superior / Tramo Superior)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4" customHeight="1">
      <c r="A29" s="5" t="inlineStr">
        <is>
          <t>📌 6° AÑO (NIVEL SUPERIOR / TRAMO SUPERIOR)</t>
        </is>
      </c>
    </row>
    <row r="30" ht="20" customHeight="1">
      <c r="A30" s="11" t="inlineStr">
        <is>
          <t>Seminario de Especialización Superior II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6° Año (Nivel Superior / Tramo Superior)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Tesis / Trabajo Final de Licenciatura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6° Año (Nivel Superior / Tramo Superior)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Práctica de Nivel Superior II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6° Año (Nivel Superior / Tramo Superior)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Acreditación de Residencia Superior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6° Año (Nivel Superior / Tramo Superior)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4" customHeight="1">
      <c r="A34" s="5" t="inlineStr">
        <is>
          <t>📌 GENERAL / OPTATIVAS</t>
        </is>
      </c>
    </row>
    <row r="35" ht="20" customHeight="1">
      <c r="A35" s="8" t="inlineStr">
        <is>
          <t>DIDACTICA GENERAL "A"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General / Optativas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EDUCACION SEXUAL INTEGRAL (Cuat)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General / Optativas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ESTUDIO DE LA DIVERSIDAD LINGÜÍSTICA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General / Optativas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GRAMATICA HISTORICA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General / Optativas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GRIEGO II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General / Optativas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HISTORIA DEL ARTE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General / Optativas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INT. ESTUD. DEL LENGUAJE Y ELEM. SEMIOL. "A"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General / Optativas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LATIN II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General / Optativas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LATIN III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General / Optativas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LECTURA ESCRITURA Y ORALIDAD II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General / Optativas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LENGUA Y LIT. LATINAS Y SU ENS. NIV, M. Y SUP.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General / Optativas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LITERATURA ARGENTINA A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General / Optativas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LITERATURA ESPAÑOLA DEL SIGLO DE ORO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General / Optativas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LITERATURA, CINE Y OTROS LENGUAJES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General / Optativas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METODOLOGIA ESPECIAL Y RESIDENCIA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General / Optativas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SEM. REP. Y PROY. DISCURSOS DE LA ANTIG.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General / Optativas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SEMINARIO DE LITERATURA RUSA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General / Optativas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SEMINARIO LENGUAJE, SOCIEDAD Y EDUCAC.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General / Optativas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SUJETO DE NIVEL (1 cuat)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General / Optativas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TALLER DE GRAMATICA Y LINGÜÍSTICA "B" (1 cuat)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General / Optativas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  <row r="55" ht="20" customHeight="1">
      <c r="A55" s="8" t="inlineStr">
        <is>
          <t>TALLER DE LECT. ESCRITURA Y ORALIDAD "A"</t>
        </is>
      </c>
      <c r="B55" s="9" t="inlineStr">
        <is>
          <t>NO</t>
        </is>
      </c>
      <c r="C55" s="9" t="inlineStr">
        <is>
          <t>NO</t>
        </is>
      </c>
      <c r="D55" s="10" t="inlineStr">
        <is>
          <t>General / Optativas</t>
        </is>
      </c>
      <c r="E55" s="9">
        <f>IF(OR(B55="SI",B55="SÍ",B55=TRUE),"REGULAR","PENDIENTE")</f>
        <v/>
      </c>
      <c r="F55" s="9">
        <f>IF(OR(C55="SI",C55="SÍ",C55=TRUE),"APROBADA",IF(OR(B55="SI",B55="SÍ",B55=TRUE),"RINDE FINAL","ADEUDA"))</f>
        <v/>
      </c>
      <c r="G55" s="9">
        <f>IF(OR(C55="SI",C55="SÍ",C55=TRUE),"✅ Aprobada",IF(OR(B55="SI",B55="SÍ",B55=TRUE),"⏳ Cursada (Rinde Final)","⚪ Pendiente"))</f>
        <v/>
      </c>
    </row>
    <row r="56" ht="20" customHeight="1">
      <c r="A56" s="11" t="inlineStr">
        <is>
          <t>TALLER DE LECT. ESCRITURA Y ORALIDAD I "B": GENEROS ACADEMICOS</t>
        </is>
      </c>
      <c r="B56" s="9" t="inlineStr">
        <is>
          <t>NO</t>
        </is>
      </c>
      <c r="C56" s="9" t="inlineStr">
        <is>
          <t>NO</t>
        </is>
      </c>
      <c r="D56" s="12" t="inlineStr">
        <is>
          <t>General / Optativas</t>
        </is>
      </c>
      <c r="E56" s="9">
        <f>IF(OR(B56="SI",B56="SÍ",B56=TRUE),"REGULAR","PENDIENTE")</f>
        <v/>
      </c>
      <c r="F56" s="9">
        <f>IF(OR(C56="SI",C56="SÍ",C56=TRUE),"APROBADA",IF(OR(B56="SI",B56="SÍ",B56=TRUE),"RINDE FINAL","ADEUDA"))</f>
        <v/>
      </c>
      <c r="G56" s="9">
        <f>IF(OR(C56="SI",C56="SÍ",C56=TRUE),"✅ Aprobada",IF(OR(B56="SI",B56="SÍ",B56=TRUE),"⏳ Cursada (Rinde Final)","⚪ Pendiente"))</f>
        <v/>
      </c>
    </row>
    <row r="57" ht="20" customHeight="1">
      <c r="A57" s="8" t="inlineStr">
        <is>
          <t>TALLER DE LECTURA ESC Y ORALIDAD I "F"</t>
        </is>
      </c>
      <c r="B57" s="9" t="inlineStr">
        <is>
          <t>NO</t>
        </is>
      </c>
      <c r="C57" s="9" t="inlineStr">
        <is>
          <t>NO</t>
        </is>
      </c>
      <c r="D57" s="10" t="inlineStr">
        <is>
          <t>General / Optativas</t>
        </is>
      </c>
      <c r="E57" s="9">
        <f>IF(OR(B57="SI",B57="SÍ",B57=TRUE),"REGULAR","PENDIENTE")</f>
        <v/>
      </c>
      <c r="F57" s="9">
        <f>IF(OR(C57="SI",C57="SÍ",C57=TRUE),"APROBADA",IF(OR(B57="SI",B57="SÍ",B57=TRUE),"RINDE FINAL","ADEUDA"))</f>
        <v/>
      </c>
      <c r="G57" s="9">
        <f>IF(OR(C57="SI",C57="SÍ",C57=TRUE),"✅ Aprobada",IF(OR(B57="SI",B57="SÍ",B57=TRUE),"⏳ Cursada (Rinde Final)","⚪ Pendiente"))</f>
        <v/>
      </c>
    </row>
    <row r="58" ht="20" customHeight="1">
      <c r="A58" s="11" t="inlineStr">
        <is>
          <t>TALLER DE LITER. Y TEORIA LITERARIA "B" (1 cuat.)</t>
        </is>
      </c>
      <c r="B58" s="9" t="inlineStr">
        <is>
          <t>NO</t>
        </is>
      </c>
      <c r="C58" s="9" t="inlineStr">
        <is>
          <t>NO</t>
        </is>
      </c>
      <c r="D58" s="12" t="inlineStr">
        <is>
          <t>General / Optativas</t>
        </is>
      </c>
      <c r="E58" s="9">
        <f>IF(OR(B58="SI",B58="SÍ",B58=TRUE),"REGULAR","PENDIENTE")</f>
        <v/>
      </c>
      <c r="F58" s="9">
        <f>IF(OR(C58="SI",C58="SÍ",C58=TRUE),"APROBADA",IF(OR(B58="SI",B58="SÍ",B58=TRUE),"RINDE FINAL","ADEUDA"))</f>
        <v/>
      </c>
      <c r="G58" s="9">
        <f>IF(OR(C58="SI",C58="SÍ",C58=TRUE),"✅ Aprobada",IF(OR(B58="SI",B58="SÍ",B58=TRUE),"⏳ Cursada (Rinde Final)","⚪ Pendiente"))</f>
        <v/>
      </c>
    </row>
    <row r="59" ht="20" customHeight="1">
      <c r="A59" s="8" t="inlineStr">
        <is>
          <t>TALLER DE LITERATURA ARG. Y LATINOAM. "A"</t>
        </is>
      </c>
      <c r="B59" s="9" t="inlineStr">
        <is>
          <t>NO</t>
        </is>
      </c>
      <c r="C59" s="9" t="inlineStr">
        <is>
          <t>NO</t>
        </is>
      </c>
      <c r="D59" s="10" t="inlineStr">
        <is>
          <t>General / Optativas</t>
        </is>
      </c>
      <c r="E59" s="9">
        <f>IF(OR(B59="SI",B59="SÍ",B59=TRUE),"REGULAR","PENDIENTE")</f>
        <v/>
      </c>
      <c r="F59" s="9">
        <f>IF(OR(C59="SI",C59="SÍ",C59=TRUE),"APROBADA",IF(OR(B59="SI",B59="SÍ",B59=TRUE),"RINDE FINAL","ADEUDA"))</f>
        <v/>
      </c>
      <c r="G59" s="9">
        <f>IF(OR(C59="SI",C59="SÍ",C59=TRUE),"✅ Aprobada",IF(OR(B59="SI",B59="SÍ",B59=TRUE),"⏳ Cursada (Rinde Final)","⚪ Pendiente"))</f>
        <v/>
      </c>
    </row>
    <row r="60" ht="20" customHeight="1">
      <c r="A60" s="11" t="inlineStr">
        <is>
          <t>TALLER DE LITERATURA ARG. Y LATINOAM. "B"</t>
        </is>
      </c>
      <c r="B60" s="9" t="inlineStr">
        <is>
          <t>NO</t>
        </is>
      </c>
      <c r="C60" s="9" t="inlineStr">
        <is>
          <t>NO</t>
        </is>
      </c>
      <c r="D60" s="12" t="inlineStr">
        <is>
          <t>General / Optativas</t>
        </is>
      </c>
      <c r="E60" s="9">
        <f>IF(OR(B60="SI",B60="SÍ",B60=TRUE),"REGULAR","PENDIENTE")</f>
        <v/>
      </c>
      <c r="F60" s="9">
        <f>IF(OR(C60="SI",C60="SÍ",C60=TRUE),"APROBADA",IF(OR(B60="SI",B60="SÍ",B60=TRUE),"RINDE FINAL","ADEUDA"))</f>
        <v/>
      </c>
      <c r="G60" s="9">
        <f>IF(OR(C60="SI",C60="SÍ",C60=TRUE),"✅ Aprobada",IF(OR(B60="SI",B60="SÍ",B60=TRUE),"⏳ Cursada (Rinde Final)","⚪ Pendiente"))</f>
        <v/>
      </c>
    </row>
  </sheetData>
  <mergeCells count="17">
    <mergeCell ref="A14:G14"/>
    <mergeCell ref="I12:J12"/>
    <mergeCell ref="A1:G1"/>
    <mergeCell ref="A9:G9"/>
    <mergeCell ref="I16:J16"/>
    <mergeCell ref="I15:J15"/>
    <mergeCell ref="A34:G34"/>
    <mergeCell ref="A4:G4"/>
    <mergeCell ref="I11:J11"/>
    <mergeCell ref="A24:G24"/>
    <mergeCell ref="A2:G2"/>
    <mergeCell ref="A29:G29"/>
    <mergeCell ref="I13:J13"/>
    <mergeCell ref="I14:J14"/>
    <mergeCell ref="A19:G19"/>
    <mergeCell ref="I17:J17"/>
    <mergeCell ref="I3:J3"/>
  </mergeCells>
  <dataValidations count="1">
    <dataValidation sqref="B4:C6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2026-08-31T00:07:26Z</dcterms:created>
  <dcterms:modified xmlns:dcterms="http://purl.org/dc/terms/" xmlns:xsi="http://www.w3.org/2001/XMLSchema-instance" xsi:type="dcterms:W3CDTF">2026-08-31T00:07:26Z</dcterms:modified>
</cp:coreProperties>
</file>