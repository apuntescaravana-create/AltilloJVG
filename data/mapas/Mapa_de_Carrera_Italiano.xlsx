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 de Carr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BAE6FD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64748B"/>
      <sz val="9"/>
    </font>
    <font>
      <name val="Arial"/>
      <b val="1"/>
      <color rgb="000B2545"/>
      <sz val="11"/>
    </font>
  </fonts>
  <fills count="9">
    <fill>
      <patternFill/>
    </fill>
    <fill>
      <patternFill patternType="gray125"/>
    </fill>
    <fill>
      <patternFill patternType="solid">
        <fgColor rgb="000B2545"/>
        <bgColor rgb="000B2545"/>
      </patternFill>
    </fill>
    <fill>
      <patternFill patternType="solid">
        <fgColor rgb="00134074"/>
        <bgColor rgb="00134074"/>
      </patternFill>
    </fill>
    <fill>
      <patternFill patternType="solid">
        <fgColor rgb="000284C7"/>
        <bgColor rgb="000284C7"/>
      </patternFill>
    </fill>
    <fill>
      <patternFill patternType="solid">
        <fgColor rgb="00F8FAFC"/>
        <bgColor rgb="00F8FAFC"/>
      </patternFill>
    </fill>
    <fill>
      <patternFill patternType="solid">
        <fgColor rgb="00F0F9FF"/>
        <bgColor rgb="00F0F9FF"/>
      </patternFill>
    </fill>
    <fill>
      <patternFill patternType="solid">
        <fgColor rgb="00DCFCE7"/>
        <bgColor rgb="00DCFCE7"/>
      </patternFill>
    </fill>
    <fill>
      <patternFill patternType="solid">
        <fgColor rgb="00D99B26"/>
        <bgColor rgb="00D99B2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6" fillId="6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4" customWidth="1" min="4" max="4"/>
    <col width="18" customWidth="1" min="5" max="5"/>
    <col width="20" customWidth="1" min="6" max="6"/>
    <col width="24" customWidth="1" min="7" max="7"/>
    <col width="30" customWidth="1" min="9" max="9"/>
    <col width="18" customWidth="1" min="10" max="10"/>
  </cols>
  <sheetData>
    <row r="1" ht="32" customHeight="1">
      <c r="A1" s="1" t="inlineStr">
        <is>
          <t>MAPA DE CARRERA | PROFESORADO DE ITALIANO</t>
        </is>
      </c>
    </row>
    <row r="2" ht="20" customHeight="1">
      <c r="A2" s="2" t="inlineStr">
        <is>
          <t>La Caravana + Estudiantes Independientes | Altillo JVG - ISP Joaquín V. González</t>
        </is>
      </c>
    </row>
    <row r="3" ht="28" customHeight="1">
      <c r="A3" s="3" t="inlineStr">
        <is>
          <t>Asignatura / Materia</t>
        </is>
      </c>
      <c r="B3" s="3" t="inlineStr">
        <is>
          <t>¿Cursada Regular? (SI/NO)</t>
        </is>
      </c>
      <c r="C3" s="3" t="inlineStr">
        <is>
          <t>¿Final Aprobado? (SI/NO)</t>
        </is>
      </c>
      <c r="D3" s="3" t="inlineStr">
        <is>
          <t>Régimen / Año</t>
        </is>
      </c>
      <c r="E3" s="3" t="inlineStr">
        <is>
          <t>¿Cursada?</t>
        </is>
      </c>
      <c r="F3" s="3" t="inlineStr">
        <is>
          <t>¿Final?</t>
        </is>
      </c>
      <c r="G3" s="3" t="inlineStr">
        <is>
          <t>Estado de Avance</t>
        </is>
      </c>
      <c r="I3" s="4" t="inlineStr">
        <is>
          <t>📊 RESUMEN DE AVANCE</t>
        </is>
      </c>
    </row>
    <row r="4" ht="24" customHeight="1">
      <c r="A4" s="5" t="inlineStr">
        <is>
          <t>📌 1° AÑO</t>
        </is>
      </c>
      <c r="I4" s="6" t="inlineStr">
        <is>
          <t>Total Materias del Plan</t>
        </is>
      </c>
      <c r="J4" s="7" t="n">
        <v>44</v>
      </c>
    </row>
    <row r="5" ht="24" customHeight="1">
      <c r="A5" s="8" t="inlineStr">
        <is>
          <t>Pedagogía</t>
        </is>
      </c>
      <c r="B5" s="9" t="inlineStr">
        <is>
          <t>NO</t>
        </is>
      </c>
      <c r="C5" s="9" t="inlineStr">
        <is>
          <t>NO</t>
        </is>
      </c>
      <c r="D5" s="10" t="inlineStr">
        <is>
          <t>1° Año</t>
        </is>
      </c>
      <c r="E5" s="9">
        <f>IF(OR(B5="SI",B5="SÍ",B5=TRUE),"REGULAR","PENDIENTE")</f>
        <v/>
      </c>
      <c r="F5" s="9">
        <f>IF(OR(C5="SI",C5="SÍ",C5=TRUE),"APROBADA",IF(OR(B5="SI",B5="SÍ",B5=TRUE),"RINDE FINAL","ADEUDA"))</f>
        <v/>
      </c>
      <c r="G5" s="9">
        <f>IF(OR(C5="SI",C5="SÍ",C5=TRUE),"✅ Aprobada",IF(OR(B5="SI",B5="SÍ",B5=TRUE),"⏳ Cursada (Rinde Final)","⚪ Pendiente"))</f>
        <v/>
      </c>
      <c r="I5" s="6" t="inlineStr">
        <is>
          <t>Cursadas Regulares</t>
        </is>
      </c>
      <c r="J5" s="7">
        <f>COUNTIF(B4:B54, "S*") + COUNTIF(B4:B54, TRUE)</f>
        <v/>
      </c>
    </row>
    <row r="6" ht="24" customHeight="1">
      <c r="A6" s="11" t="inlineStr">
        <is>
          <t>Didáctica General</t>
        </is>
      </c>
      <c r="B6" s="9" t="inlineStr">
        <is>
          <t>NO</t>
        </is>
      </c>
      <c r="C6" s="9" t="inlineStr">
        <is>
          <t>NO</t>
        </is>
      </c>
      <c r="D6" s="12" t="inlineStr">
        <is>
          <t>1° Año</t>
        </is>
      </c>
      <c r="E6" s="9">
        <f>IF(OR(B6="SI",B6="SÍ",B6=TRUE),"REGULAR","PENDIENTE")</f>
        <v/>
      </c>
      <c r="F6" s="9">
        <f>IF(OR(C6="SI",C6="SÍ",C6=TRUE),"APROBADA",IF(OR(B6="SI",B6="SÍ",B6=TRUE),"RINDE FINAL","ADEUDA"))</f>
        <v/>
      </c>
      <c r="G6" s="9">
        <f>IF(OR(C6="SI",C6="SÍ",C6=TRUE),"✅ Aprobada",IF(OR(B6="SI",B6="SÍ",B6=TRUE),"⏳ Cursada (Rinde Final)","⚪ Pendiente"))</f>
        <v/>
      </c>
      <c r="I6" s="6" t="inlineStr">
        <is>
          <t>Finales Aprobados</t>
        </is>
      </c>
      <c r="J6" s="7">
        <f>COUNTIF(C4:C54, "S*") + COUNTIF(C4:C54, TRUE)</f>
        <v/>
      </c>
    </row>
    <row r="7" ht="24" customHeight="1">
      <c r="A7" s="8" t="inlineStr">
        <is>
          <t>Introducción a la Disciplina</t>
        </is>
      </c>
      <c r="B7" s="9" t="inlineStr">
        <is>
          <t>NO</t>
        </is>
      </c>
      <c r="C7" s="9" t="inlineStr">
        <is>
          <t>NO</t>
        </is>
      </c>
      <c r="D7" s="10" t="inlineStr">
        <is>
          <t>1° Año</t>
        </is>
      </c>
      <c r="E7" s="9">
        <f>IF(OR(B7="SI",B7="SÍ",B7=TRUE),"REGULAR","PENDIENTE")</f>
        <v/>
      </c>
      <c r="F7" s="9">
        <f>IF(OR(C7="SI",C7="SÍ",C7=TRUE),"APROBADA",IF(OR(B7="SI",B7="SÍ",B7=TRUE),"RINDE FINAL","ADEUDA"))</f>
        <v/>
      </c>
      <c r="G7" s="9">
        <f>IF(OR(C7="SI",C7="SÍ",C7=TRUE),"✅ Aprobada",IF(OR(B7="SI",B7="SÍ",B7=TRUE),"⏳ Cursada (Rinde Final)","⚪ Pendiente"))</f>
        <v/>
      </c>
      <c r="I7" s="6" t="inlineStr">
        <is>
          <t>Finales Adeudados</t>
        </is>
      </c>
      <c r="J7" s="7">
        <f>J5-J6</f>
        <v/>
      </c>
    </row>
    <row r="8" ht="24" customHeight="1">
      <c r="A8" s="11" t="inlineStr">
        <is>
          <t>Práctica Docente I</t>
        </is>
      </c>
      <c r="B8" s="9" t="inlineStr">
        <is>
          <t>NO</t>
        </is>
      </c>
      <c r="C8" s="9" t="inlineStr">
        <is>
          <t>NO</t>
        </is>
      </c>
      <c r="D8" s="12" t="inlineStr">
        <is>
          <t>1° Año</t>
        </is>
      </c>
      <c r="E8" s="9">
        <f>IF(OR(B8="SI",B8="SÍ",B8=TRUE),"REGULAR","PENDIENTE")</f>
        <v/>
      </c>
      <c r="F8" s="9">
        <f>IF(OR(C8="SI",C8="SÍ",C8=TRUE),"APROBADA",IF(OR(B8="SI",B8="SÍ",B8=TRUE),"RINDE FINAL","ADEUDA"))</f>
        <v/>
      </c>
      <c r="G8" s="9">
        <f>IF(OR(C8="SI",C8="SÍ",C8=TRUE),"✅ Aprobada",IF(OR(B8="SI",B8="SÍ",B8=TRUE),"⏳ Cursada (Rinde Final)","⚪ Pendiente"))</f>
        <v/>
      </c>
      <c r="I8" s="6" t="inlineStr">
        <is>
          <t>% Cursadas Completadas</t>
        </is>
      </c>
      <c r="J8" s="13">
        <f>J5/44</f>
        <v/>
      </c>
    </row>
    <row r="9" ht="24" customHeight="1">
      <c r="A9" s="5" t="inlineStr">
        <is>
          <t>📌 2° AÑO</t>
        </is>
      </c>
      <c r="I9" s="6" t="inlineStr">
        <is>
          <t>% Carrera Aprobada (Finales)</t>
        </is>
      </c>
      <c r="J9" s="13">
        <f>J6/44</f>
        <v/>
      </c>
    </row>
    <row r="10" ht="20" customHeight="1">
      <c r="A10" s="11" t="inlineStr">
        <is>
          <t>Psicología Educacional</t>
        </is>
      </c>
      <c r="B10" s="9" t="inlineStr">
        <is>
          <t>NO</t>
        </is>
      </c>
      <c r="C10" s="9" t="inlineStr">
        <is>
          <t>NO</t>
        </is>
      </c>
      <c r="D10" s="12" t="inlineStr">
        <is>
          <t>2° Año</t>
        </is>
      </c>
      <c r="E10" s="9">
        <f>IF(OR(B10="SI",B10="SÍ",B10=TRUE),"REGULAR","PENDIENTE")</f>
        <v/>
      </c>
      <c r="F10" s="9">
        <f>IF(OR(C10="SI",C10="SÍ",C10=TRUE),"APROBADA",IF(OR(B10="SI",B10="SÍ",B10=TRUE),"RINDE FINAL","ADEUDA"))</f>
        <v/>
      </c>
      <c r="G10" s="9">
        <f>IF(OR(C10="SI",C10="SÍ",C10=TRUE),"✅ Aprobada",IF(OR(B10="SI",B10="SÍ",B10=TRUE),"⏳ Cursada (Rinde Final)","⚪ Pendiente"))</f>
        <v/>
      </c>
    </row>
    <row r="11" ht="20" customHeight="1">
      <c r="A11" s="8" t="inlineStr">
        <is>
          <t>Sociología de la Educación</t>
        </is>
      </c>
      <c r="B11" s="9" t="inlineStr">
        <is>
          <t>NO</t>
        </is>
      </c>
      <c r="C11" s="9" t="inlineStr">
        <is>
          <t>NO</t>
        </is>
      </c>
      <c r="D11" s="10" t="inlineStr">
        <is>
          <t>2° Año</t>
        </is>
      </c>
      <c r="E11" s="9">
        <f>IF(OR(B11="SI",B11="SÍ",B11=TRUE),"REGULAR","PENDIENTE")</f>
        <v/>
      </c>
      <c r="F11" s="9">
        <f>IF(OR(C11="SI",C11="SÍ",C11=TRUE),"APROBADA",IF(OR(B11="SI",B11="SÍ",B11=TRUE),"RINDE FINAL","ADEUDA"))</f>
        <v/>
      </c>
      <c r="G11" s="9">
        <f>IF(OR(C11="SI",C11="SÍ",C11=TRUE),"✅ Aprobada",IF(OR(B11="SI",B11="SÍ",B11=TRUE),"⏳ Cursada (Rinde Final)","⚪ Pendiente"))</f>
        <v/>
      </c>
      <c r="I11" s="14" t="inlineStr">
        <is>
          <t>💡 INSTRUCCIONES DE USO</t>
        </is>
      </c>
    </row>
    <row r="12" ht="26" customHeight="1">
      <c r="A12" s="11" t="inlineStr">
        <is>
          <t>Sujetos de la Educación</t>
        </is>
      </c>
      <c r="B12" s="9" t="inlineStr">
        <is>
          <t>NO</t>
        </is>
      </c>
      <c r="C12" s="9" t="inlineStr">
        <is>
          <t>NO</t>
        </is>
      </c>
      <c r="D12" s="12" t="inlineStr">
        <is>
          <t>2° Año</t>
        </is>
      </c>
      <c r="E12" s="9">
        <f>IF(OR(B12="SI",B12="SÍ",B12=TRUE),"REGULAR","PENDIENTE")</f>
        <v/>
      </c>
      <c r="F12" s="9">
        <f>IF(OR(C12="SI",C12="SÍ",C12=TRUE),"APROBADA",IF(OR(B12="SI",B12="SÍ",B12=TRUE),"RINDE FINAL","ADEUDA"))</f>
        <v/>
      </c>
      <c r="G12" s="9">
        <f>IF(OR(C12="SI",C12="SÍ",C12=TRUE),"✅ Aprobada",IF(OR(B12="SI",B12="SÍ",B12=TRUE),"⏳ Cursada (Rinde Final)","⚪ Pendiente"))</f>
        <v/>
      </c>
      <c r="I12" s="15" t="inlineStr">
        <is>
          <t>1. Hacé clic en la celda y elegí 'SI' o 'NO' desde el menú desplegable.</t>
        </is>
      </c>
    </row>
    <row r="13" ht="26" customHeight="1">
      <c r="A13" s="8" t="inlineStr">
        <is>
          <t>Práctica Docente II</t>
        </is>
      </c>
      <c r="B13" s="9" t="inlineStr">
        <is>
          <t>NO</t>
        </is>
      </c>
      <c r="C13" s="9" t="inlineStr">
        <is>
          <t>NO</t>
        </is>
      </c>
      <c r="D13" s="10" t="inlineStr">
        <is>
          <t>2° Año</t>
        </is>
      </c>
      <c r="E13" s="9">
        <f>IF(OR(B13="SI",B13="SÍ",B13=TRUE),"REGULAR","PENDIENTE")</f>
        <v/>
      </c>
      <c r="F13" s="9">
        <f>IF(OR(C13="SI",C13="SÍ",C13=TRUE),"APROBADA",IF(OR(B13="SI",B13="SÍ",B13=TRUE),"RINDE FINAL","ADEUDA"))</f>
        <v/>
      </c>
      <c r="G13" s="9">
        <f>IF(OR(C13="SI",C13="SÍ",C13=TRUE),"✅ Aprobada",IF(OR(B13="SI",B13="SÍ",B13=TRUE),"⏳ Cursada (Rinde Final)","⚪ Pendiente"))</f>
        <v/>
      </c>
      <c r="I13" s="15" t="inlineStr">
        <is>
          <t>2. Columna B: Marcá 'SI' si tenés la cursada regular aprobada.</t>
        </is>
      </c>
    </row>
    <row r="14" ht="26" customHeight="1">
      <c r="A14" s="5" t="inlineStr">
        <is>
          <t>📌 3° AÑO</t>
        </is>
      </c>
      <c r="I14" s="15" t="inlineStr">
        <is>
          <t>3. Columna C: Marcá 'SI' si aprobaste el final o promocionaste.</t>
        </is>
      </c>
    </row>
    <row r="15" ht="26" customHeight="1">
      <c r="A15" s="8" t="inlineStr">
        <is>
          <t>Historia Social de la Educación</t>
        </is>
      </c>
      <c r="B15" s="9" t="inlineStr">
        <is>
          <t>NO</t>
        </is>
      </c>
      <c r="C15" s="9" t="inlineStr">
        <is>
          <t>NO</t>
        </is>
      </c>
      <c r="D15" s="10" t="inlineStr">
        <is>
          <t>3° Año</t>
        </is>
      </c>
      <c r="E15" s="9">
        <f>IF(OR(B15="SI",B15="SÍ",B15=TRUE),"REGULAR","PENDIENTE")</f>
        <v/>
      </c>
      <c r="F15" s="9">
        <f>IF(OR(C15="SI",C15="SÍ",C15=TRUE),"APROBADA",IF(OR(B15="SI",B15="SÍ",B15=TRUE),"RINDE FINAL","ADEUDA"))</f>
        <v/>
      </c>
      <c r="G15" s="9">
        <f>IF(OR(C15="SI",C15="SÍ",C15=TRUE),"✅ Aprobada",IF(OR(B15="SI",B15="SÍ",B15=TRUE),"⏳ Cursada (Rinde Final)","⚪ Pendiente"))</f>
        <v/>
      </c>
      <c r="I15" s="15" t="inlineStr">
        <is>
          <t>4. Las columnas E, F y G se actualizan automáticamente en tiempo real.</t>
        </is>
      </c>
    </row>
    <row r="16" ht="26" customHeight="1">
      <c r="A16" s="11" t="inlineStr">
        <is>
          <t>Residencia I</t>
        </is>
      </c>
      <c r="B16" s="9" t="inlineStr">
        <is>
          <t>NO</t>
        </is>
      </c>
      <c r="C16" s="9" t="inlineStr">
        <is>
          <t>NO</t>
        </is>
      </c>
      <c r="D16" s="12" t="inlineStr">
        <is>
          <t>3° Año</t>
        </is>
      </c>
      <c r="E16" s="9">
        <f>IF(OR(B16="SI",B16="SÍ",B16=TRUE),"REGULAR","PENDIENTE")</f>
        <v/>
      </c>
      <c r="F16" s="9">
        <f>IF(OR(C16="SI",C16="SÍ",C16=TRUE),"APROBADA",IF(OR(B16="SI",B16="SÍ",B16=TRUE),"RINDE FINAL","ADEUDA"))</f>
        <v/>
      </c>
      <c r="G16" s="9">
        <f>IF(OR(C16="SI",C16="SÍ",C16=TRUE),"✅ Aprobada",IF(OR(B16="SI",B16="SÍ",B16=TRUE),"⏳ Cursada (Rinde Final)","⚪ Pendiente"))</f>
        <v/>
      </c>
      <c r="I16" s="15" t="inlineStr">
        <is>
          <t>5. El panel lateral calcula tu avance y porcentaje de carrera en vivo.</t>
        </is>
      </c>
    </row>
    <row r="17" ht="26" customHeight="1">
      <c r="A17" s="8" t="inlineStr">
        <is>
          <t>Espacio de Definición Institucional</t>
        </is>
      </c>
      <c r="B17" s="9" t="inlineStr">
        <is>
          <t>NO</t>
        </is>
      </c>
      <c r="C17" s="9" t="inlineStr">
        <is>
          <t>NO</t>
        </is>
      </c>
      <c r="D17" s="10" t="inlineStr">
        <is>
          <t>3° Año</t>
        </is>
      </c>
      <c r="E17" s="9">
        <f>IF(OR(B17="SI",B17="SÍ",B17=TRUE),"REGULAR","PENDIENTE")</f>
        <v/>
      </c>
      <c r="F17" s="9">
        <f>IF(OR(C17="SI",C17="SÍ",C17=TRUE),"APROBADA",IF(OR(B17="SI",B17="SÍ",B17=TRUE),"RINDE FINAL","ADEUDA"))</f>
        <v/>
      </c>
      <c r="G17" s="9">
        <f>IF(OR(C17="SI",C17="SÍ",C17=TRUE),"✅ Aprobada",IF(OR(B17="SI",B17="SÍ",B17=TRUE),"⏳ Cursada (Rinde Final)","⚪ Pendiente"))</f>
        <v/>
      </c>
      <c r="I17" s="15" t="inlineStr">
        <is>
          <t>6. Podés subir el archivo a tu Google Drive personal para editarlo online.</t>
        </is>
      </c>
    </row>
    <row r="18" ht="20" customHeight="1">
      <c r="A18" s="11" t="inlineStr">
        <is>
          <t>Práctica Docente III</t>
        </is>
      </c>
      <c r="B18" s="9" t="inlineStr">
        <is>
          <t>NO</t>
        </is>
      </c>
      <c r="C18" s="9" t="inlineStr">
        <is>
          <t>NO</t>
        </is>
      </c>
      <c r="D18" s="12" t="inlineStr">
        <is>
          <t>3° Año</t>
        </is>
      </c>
      <c r="E18" s="9">
        <f>IF(OR(B18="SI",B18="SÍ",B18=TRUE),"REGULAR","PENDIENTE")</f>
        <v/>
      </c>
      <c r="F18" s="9">
        <f>IF(OR(C18="SI",C18="SÍ",C18=TRUE),"APROBADA",IF(OR(B18="SI",B18="SÍ",B18=TRUE),"RINDE FINAL","ADEUDA"))</f>
        <v/>
      </c>
      <c r="G18" s="9">
        <f>IF(OR(C18="SI",C18="SÍ",C18=TRUE),"✅ Aprobada",IF(OR(B18="SI",B18="SÍ",B18=TRUE),"⏳ Cursada (Rinde Final)","⚪ Pendiente"))</f>
        <v/>
      </c>
    </row>
    <row r="19" ht="24" customHeight="1">
      <c r="A19" s="5" t="inlineStr">
        <is>
          <t>📌 4° AÑO</t>
        </is>
      </c>
    </row>
    <row r="20" ht="20" customHeight="1">
      <c r="A20" s="11" t="inlineStr">
        <is>
          <t>Residencia II / Taller de Cierre</t>
        </is>
      </c>
      <c r="B20" s="9" t="inlineStr">
        <is>
          <t>NO</t>
        </is>
      </c>
      <c r="C20" s="9" t="inlineStr">
        <is>
          <t>NO</t>
        </is>
      </c>
      <c r="D20" s="12" t="inlineStr">
        <is>
          <t>4° Año</t>
        </is>
      </c>
      <c r="E20" s="9">
        <f>IF(OR(B20="SI",B20="SÍ",B20=TRUE),"REGULAR","PENDIENTE")</f>
        <v/>
      </c>
      <c r="F20" s="9">
        <f>IF(OR(C20="SI",C20="SÍ",C20=TRUE),"APROBADA",IF(OR(B20="SI",B20="SÍ",B20=TRUE),"RINDE FINAL","ADEUDA"))</f>
        <v/>
      </c>
      <c r="G20" s="9">
        <f>IF(OR(C20="SI",C20="SÍ",C20=TRUE),"✅ Aprobada",IF(OR(B20="SI",B20="SÍ",B20=TRUE),"⏳ Cursada (Rinde Final)","⚪ Pendiente"))</f>
        <v/>
      </c>
    </row>
    <row r="21" ht="20" customHeight="1">
      <c r="A21" s="8" t="inlineStr">
        <is>
          <t>Ética y Trabajo Docente</t>
        </is>
      </c>
      <c r="B21" s="9" t="inlineStr">
        <is>
          <t>NO</t>
        </is>
      </c>
      <c r="C21" s="9" t="inlineStr">
        <is>
          <t>NO</t>
        </is>
      </c>
      <c r="D21" s="10" t="inlineStr">
        <is>
          <t>4° Año</t>
        </is>
      </c>
      <c r="E21" s="9">
        <f>IF(OR(B21="SI",B21="SÍ",B21=TRUE),"REGULAR","PENDIENTE")</f>
        <v/>
      </c>
      <c r="F21" s="9">
        <f>IF(OR(C21="SI",C21="SÍ",C21=TRUE),"APROBADA",IF(OR(B21="SI",B21="SÍ",B21=TRUE),"RINDE FINAL","ADEUDA"))</f>
        <v/>
      </c>
      <c r="G21" s="9">
        <f>IF(OR(C21="SI",C21="SÍ",C21=TRUE),"✅ Aprobada",IF(OR(B21="SI",B21="SÍ",B21=TRUE),"⏳ Cursada (Rinde Final)","⚪ Pendiente"))</f>
        <v/>
      </c>
    </row>
    <row r="22" ht="20" customHeight="1">
      <c r="A22" s="11" t="inlineStr">
        <is>
          <t>Investigación Educativa</t>
        </is>
      </c>
      <c r="B22" s="9" t="inlineStr">
        <is>
          <t>NO</t>
        </is>
      </c>
      <c r="C22" s="9" t="inlineStr">
        <is>
          <t>NO</t>
        </is>
      </c>
      <c r="D22" s="12" t="inlineStr">
        <is>
          <t>4° Año</t>
        </is>
      </c>
      <c r="E22" s="9">
        <f>IF(OR(B22="SI",B22="SÍ",B22=TRUE),"REGULAR","PENDIENTE")</f>
        <v/>
      </c>
      <c r="F22" s="9">
        <f>IF(OR(C22="SI",C22="SÍ",C22=TRUE),"APROBADA",IF(OR(B22="SI",B22="SÍ",B22=TRUE),"RINDE FINAL","ADEUDA"))</f>
        <v/>
      </c>
      <c r="G22" s="9">
        <f>IF(OR(C22="SI",C22="SÍ",C22=TRUE),"✅ Aprobada",IF(OR(B22="SI",B22="SÍ",B22=TRUE),"⏳ Cursada (Rinde Final)","⚪ Pendiente"))</f>
        <v/>
      </c>
    </row>
    <row r="23" ht="20" customHeight="1">
      <c r="A23" s="8" t="inlineStr">
        <is>
          <t>Práctica Docente IV</t>
        </is>
      </c>
      <c r="B23" s="9" t="inlineStr">
        <is>
          <t>NO</t>
        </is>
      </c>
      <c r="C23" s="9" t="inlineStr">
        <is>
          <t>NO</t>
        </is>
      </c>
      <c r="D23" s="10" t="inlineStr">
        <is>
          <t>4° Año</t>
        </is>
      </c>
      <c r="E23" s="9">
        <f>IF(OR(B23="SI",B23="SÍ",B23=TRUE),"REGULAR","PENDIENTE")</f>
        <v/>
      </c>
      <c r="F23" s="9">
        <f>IF(OR(C23="SI",C23="SÍ",C23=TRUE),"APROBADA",IF(OR(B23="SI",B23="SÍ",B23=TRUE),"RINDE FINAL","ADEUDA"))</f>
        <v/>
      </c>
      <c r="G23" s="9">
        <f>IF(OR(C23="SI",C23="SÍ",C23=TRUE),"✅ Aprobada",IF(OR(B23="SI",B23="SÍ",B23=TRUE),"⏳ Cursada (Rinde Final)","⚪ Pendiente"))</f>
        <v/>
      </c>
    </row>
    <row r="24" ht="24" customHeight="1">
      <c r="A24" s="5" t="inlineStr">
        <is>
          <t>📌 5° AÑO (NIVEL SUPERIOR / TRAMO SUPERIOR)</t>
        </is>
      </c>
    </row>
    <row r="25" ht="20" customHeight="1">
      <c r="A25" s="8" t="inlineStr">
        <is>
          <t>Seminario de Especialización Superior I</t>
        </is>
      </c>
      <c r="B25" s="9" t="inlineStr">
        <is>
          <t>NO</t>
        </is>
      </c>
      <c r="C25" s="9" t="inlineStr">
        <is>
          <t>NO</t>
        </is>
      </c>
      <c r="D25" s="10" t="inlineStr">
        <is>
          <t>5° Año (Nivel Superior / Tramo Superior)</t>
        </is>
      </c>
      <c r="E25" s="9">
        <f>IF(OR(B25="SI",B25="SÍ",B25=TRUE),"REGULAR","PENDIENTE")</f>
        <v/>
      </c>
      <c r="F25" s="9">
        <f>IF(OR(C25="SI",C25="SÍ",C25=TRUE),"APROBADA",IF(OR(B25="SI",B25="SÍ",B25=TRUE),"RINDE FINAL","ADEUDA"))</f>
        <v/>
      </c>
      <c r="G25" s="9">
        <f>IF(OR(C25="SI",C25="SÍ",C25=TRUE),"✅ Aprobada",IF(OR(B25="SI",B25="SÍ",B25=TRUE),"⏳ Cursada (Rinde Final)","⚪ Pendiente"))</f>
        <v/>
      </c>
    </row>
    <row r="26" ht="20" customHeight="1">
      <c r="A26" s="11" t="inlineStr">
        <is>
          <t>Taller de Investigación Aplicada</t>
        </is>
      </c>
      <c r="B26" s="9" t="inlineStr">
        <is>
          <t>NO</t>
        </is>
      </c>
      <c r="C26" s="9" t="inlineStr">
        <is>
          <t>NO</t>
        </is>
      </c>
      <c r="D26" s="12" t="inlineStr">
        <is>
          <t>5° Año (Nivel Superior / Tramo Superior)</t>
        </is>
      </c>
      <c r="E26" s="9">
        <f>IF(OR(B26="SI",B26="SÍ",B26=TRUE),"REGULAR","PENDIENTE")</f>
        <v/>
      </c>
      <c r="F26" s="9">
        <f>IF(OR(C26="SI",C26="SÍ",C26=TRUE),"APROBADA",IF(OR(B26="SI",B26="SÍ",B26=TRUE),"RINDE FINAL","ADEUDA"))</f>
        <v/>
      </c>
      <c r="G26" s="9">
        <f>IF(OR(C26="SI",C26="SÍ",C26=TRUE),"✅ Aprobada",IF(OR(B26="SI",B26="SÍ",B26=TRUE),"⏳ Cursada (Rinde Final)","⚪ Pendiente"))</f>
        <v/>
      </c>
    </row>
    <row r="27" ht="20" customHeight="1">
      <c r="A27" s="8" t="inlineStr">
        <is>
          <t>Didáctica de Nivel Superior</t>
        </is>
      </c>
      <c r="B27" s="9" t="inlineStr">
        <is>
          <t>NO</t>
        </is>
      </c>
      <c r="C27" s="9" t="inlineStr">
        <is>
          <t>NO</t>
        </is>
      </c>
      <c r="D27" s="10" t="inlineStr">
        <is>
          <t>5° Año (Nivel Superior / Tramo Superior)</t>
        </is>
      </c>
      <c r="E27" s="9">
        <f>IF(OR(B27="SI",B27="SÍ",B27=TRUE),"REGULAR","PENDIENTE")</f>
        <v/>
      </c>
      <c r="F27" s="9">
        <f>IF(OR(C27="SI",C27="SÍ",C27=TRUE),"APROBADA",IF(OR(B27="SI",B27="SÍ",B27=TRUE),"RINDE FINAL","ADEUDA"))</f>
        <v/>
      </c>
      <c r="G27" s="9">
        <f>IF(OR(C27="SI",C27="SÍ",C27=TRUE),"✅ Aprobada",IF(OR(B27="SI",B27="SÍ",B27=TRUE),"⏳ Cursada (Rinde Final)","⚪ Pendiente"))</f>
        <v/>
      </c>
    </row>
    <row r="28" ht="20" customHeight="1">
      <c r="A28" s="11" t="inlineStr">
        <is>
          <t>Práctica de Nivel Superior I</t>
        </is>
      </c>
      <c r="B28" s="9" t="inlineStr">
        <is>
          <t>NO</t>
        </is>
      </c>
      <c r="C28" s="9" t="inlineStr">
        <is>
          <t>NO</t>
        </is>
      </c>
      <c r="D28" s="12" t="inlineStr">
        <is>
          <t>5° Año (Nivel Superior / Tramo Superior)</t>
        </is>
      </c>
      <c r="E28" s="9">
        <f>IF(OR(B28="SI",B28="SÍ",B28=TRUE),"REGULAR","PENDIENTE")</f>
        <v/>
      </c>
      <c r="F28" s="9">
        <f>IF(OR(C28="SI",C28="SÍ",C28=TRUE),"APROBADA",IF(OR(B28="SI",B28="SÍ",B28=TRUE),"RINDE FINAL","ADEUDA"))</f>
        <v/>
      </c>
      <c r="G28" s="9">
        <f>IF(OR(C28="SI",C28="SÍ",C28=TRUE),"✅ Aprobada",IF(OR(B28="SI",B28="SÍ",B28=TRUE),"⏳ Cursada (Rinde Final)","⚪ Pendiente"))</f>
        <v/>
      </c>
    </row>
    <row r="29" ht="24" customHeight="1">
      <c r="A29" s="5" t="inlineStr">
        <is>
          <t>📌 6° AÑO (NIVEL SUPERIOR / TRAMO SUPERIOR)</t>
        </is>
      </c>
    </row>
    <row r="30" ht="20" customHeight="1">
      <c r="A30" s="11" t="inlineStr">
        <is>
          <t>Seminario de Especialización Superior II</t>
        </is>
      </c>
      <c r="B30" s="9" t="inlineStr">
        <is>
          <t>NO</t>
        </is>
      </c>
      <c r="C30" s="9" t="inlineStr">
        <is>
          <t>NO</t>
        </is>
      </c>
      <c r="D30" s="12" t="inlineStr">
        <is>
          <t>6° Año (Nivel Superior / Tramo Superior)</t>
        </is>
      </c>
      <c r="E30" s="9">
        <f>IF(OR(B30="SI",B30="SÍ",B30=TRUE),"REGULAR","PENDIENTE")</f>
        <v/>
      </c>
      <c r="F30" s="9">
        <f>IF(OR(C30="SI",C30="SÍ",C30=TRUE),"APROBADA",IF(OR(B30="SI",B30="SÍ",B30=TRUE),"RINDE FINAL","ADEUDA"))</f>
        <v/>
      </c>
      <c r="G30" s="9">
        <f>IF(OR(C30="SI",C30="SÍ",C30=TRUE),"✅ Aprobada",IF(OR(B30="SI",B30="SÍ",B30=TRUE),"⏳ Cursada (Rinde Final)","⚪ Pendiente"))</f>
        <v/>
      </c>
    </row>
    <row r="31" ht="20" customHeight="1">
      <c r="A31" s="8" t="inlineStr">
        <is>
          <t>Tesis / Trabajo Final de Licenciatura</t>
        </is>
      </c>
      <c r="B31" s="9" t="inlineStr">
        <is>
          <t>NO</t>
        </is>
      </c>
      <c r="C31" s="9" t="inlineStr">
        <is>
          <t>NO</t>
        </is>
      </c>
      <c r="D31" s="10" t="inlineStr">
        <is>
          <t>6° Año (Nivel Superior / Tramo Superior)</t>
        </is>
      </c>
      <c r="E31" s="9">
        <f>IF(OR(B31="SI",B31="SÍ",B31=TRUE),"REGULAR","PENDIENTE")</f>
        <v/>
      </c>
      <c r="F31" s="9">
        <f>IF(OR(C31="SI",C31="SÍ",C31=TRUE),"APROBADA",IF(OR(B31="SI",B31="SÍ",B31=TRUE),"RINDE FINAL","ADEUDA"))</f>
        <v/>
      </c>
      <c r="G31" s="9">
        <f>IF(OR(C31="SI",C31="SÍ",C31=TRUE),"✅ Aprobada",IF(OR(B31="SI",B31="SÍ",B31=TRUE),"⏳ Cursada (Rinde Final)","⚪ Pendiente"))</f>
        <v/>
      </c>
    </row>
    <row r="32" ht="20" customHeight="1">
      <c r="A32" s="11" t="inlineStr">
        <is>
          <t>Práctica de Nivel Superior II</t>
        </is>
      </c>
      <c r="B32" s="9" t="inlineStr">
        <is>
          <t>NO</t>
        </is>
      </c>
      <c r="C32" s="9" t="inlineStr">
        <is>
          <t>NO</t>
        </is>
      </c>
      <c r="D32" s="12" t="inlineStr">
        <is>
          <t>6° Año (Nivel Superior / Tramo Superior)</t>
        </is>
      </c>
      <c r="E32" s="9">
        <f>IF(OR(B32="SI",B32="SÍ",B32=TRUE),"REGULAR","PENDIENTE")</f>
        <v/>
      </c>
      <c r="F32" s="9">
        <f>IF(OR(C32="SI",C32="SÍ",C32=TRUE),"APROBADA",IF(OR(B32="SI",B32="SÍ",B32=TRUE),"RINDE FINAL","ADEUDA"))</f>
        <v/>
      </c>
      <c r="G32" s="9">
        <f>IF(OR(C32="SI",C32="SÍ",C32=TRUE),"✅ Aprobada",IF(OR(B32="SI",B32="SÍ",B32=TRUE),"⏳ Cursada (Rinde Final)","⚪ Pendiente"))</f>
        <v/>
      </c>
    </row>
    <row r="33" ht="20" customHeight="1">
      <c r="A33" s="8" t="inlineStr">
        <is>
          <t>Acreditación de Residencia Superior</t>
        </is>
      </c>
      <c r="B33" s="9" t="inlineStr">
        <is>
          <t>NO</t>
        </is>
      </c>
      <c r="C33" s="9" t="inlineStr">
        <is>
          <t>NO</t>
        </is>
      </c>
      <c r="D33" s="10" t="inlineStr">
        <is>
          <t>6° Año (Nivel Superior / Tramo Superior)</t>
        </is>
      </c>
      <c r="E33" s="9">
        <f>IF(OR(B33="SI",B33="SÍ",B33=TRUE),"REGULAR","PENDIENTE")</f>
        <v/>
      </c>
      <c r="F33" s="9">
        <f>IF(OR(C33="SI",C33="SÍ",C33=TRUE),"APROBADA",IF(OR(B33="SI",B33="SÍ",B33=TRUE),"RINDE FINAL","ADEUDA"))</f>
        <v/>
      </c>
      <c r="G33" s="9">
        <f>IF(OR(C33="SI",C33="SÍ",C33=TRUE),"✅ Aprobada",IF(OR(B33="SI",B33="SÍ",B33=TRUE),"⏳ Cursada (Rinde Final)","⚪ Pendiente"))</f>
        <v/>
      </c>
    </row>
    <row r="34" ht="24" customHeight="1">
      <c r="A34" s="5" t="inlineStr">
        <is>
          <t>📌 GENERAL / OPTATIVAS</t>
        </is>
      </c>
    </row>
    <row r="35" ht="20" customHeight="1">
      <c r="A35" s="8" t="inlineStr">
        <is>
          <t>CONST.PRACTICA DOCENTE NIVEL SUPERIOR</t>
        </is>
      </c>
      <c r="B35" s="9" t="inlineStr">
        <is>
          <t>NO</t>
        </is>
      </c>
      <c r="C35" s="9" t="inlineStr">
        <is>
          <t>NO</t>
        </is>
      </c>
      <c r="D35" s="10" t="inlineStr">
        <is>
          <t>General / Optativas</t>
        </is>
      </c>
      <c r="E35" s="9">
        <f>IF(OR(B35="SI",B35="SÍ",B35=TRUE),"REGULAR","PENDIENTE")</f>
        <v/>
      </c>
      <c r="F35" s="9">
        <f>IF(OR(C35="SI",C35="SÍ",C35=TRUE),"APROBADA",IF(OR(B35="SI",B35="SÍ",B35=TRUE),"RINDE FINAL","ADEUDA"))</f>
        <v/>
      </c>
      <c r="G35" s="9">
        <f>IF(OR(C35="SI",C35="SÍ",C35=TRUE),"✅ Aprobada",IF(OR(B35="SI",B35="SÍ",B35=TRUE),"⏳ Cursada (Rinde Final)","⚪ Pendiente"))</f>
        <v/>
      </c>
    </row>
    <row r="36" ht="20" customHeight="1">
      <c r="A36" s="11" t="inlineStr">
        <is>
          <t>DERECHOS HUMANOS SOC Y ESTADO</t>
        </is>
      </c>
      <c r="B36" s="9" t="inlineStr">
        <is>
          <t>NO</t>
        </is>
      </c>
      <c r="C36" s="9" t="inlineStr">
        <is>
          <t>NO</t>
        </is>
      </c>
      <c r="D36" s="12" t="inlineStr">
        <is>
          <t>General / Optativas</t>
        </is>
      </c>
      <c r="E36" s="9">
        <f>IF(OR(B36="SI",B36="SÍ",B36=TRUE),"REGULAR","PENDIENTE")</f>
        <v/>
      </c>
      <c r="F36" s="9">
        <f>IF(OR(C36="SI",C36="SÍ",C36=TRUE),"APROBADA",IF(OR(B36="SI",B36="SÍ",B36=TRUE),"RINDE FINAL","ADEUDA"))</f>
        <v/>
      </c>
      <c r="G36" s="9">
        <f>IF(OR(C36="SI",C36="SÍ",C36=TRUE),"✅ Aprobada",IF(OR(B36="SI",B36="SÍ",B36=TRUE),"⏳ Cursada (Rinde Final)","⚪ Pendiente"))</f>
        <v/>
      </c>
    </row>
    <row r="37" ht="20" customHeight="1">
      <c r="A37" s="8" t="inlineStr">
        <is>
          <t>FONETICA Y FONOLOGIA I</t>
        </is>
      </c>
      <c r="B37" s="9" t="inlineStr">
        <is>
          <t>NO</t>
        </is>
      </c>
      <c r="C37" s="9" t="inlineStr">
        <is>
          <t>NO</t>
        </is>
      </c>
      <c r="D37" s="10" t="inlineStr">
        <is>
          <t>General / Optativas</t>
        </is>
      </c>
      <c r="E37" s="9">
        <f>IF(OR(B37="SI",B37="SÍ",B37=TRUE),"REGULAR","PENDIENTE")</f>
        <v/>
      </c>
      <c r="F37" s="9">
        <f>IF(OR(C37="SI",C37="SÍ",C37=TRUE),"APROBADA",IF(OR(B37="SI",B37="SÍ",B37=TRUE),"RINDE FINAL","ADEUDA"))</f>
        <v/>
      </c>
      <c r="G37" s="9">
        <f>IF(OR(C37="SI",C37="SÍ",C37=TRUE),"✅ Aprobada",IF(OR(B37="SI",B37="SÍ",B37=TRUE),"⏳ Cursada (Rinde Final)","⚪ Pendiente"))</f>
        <v/>
      </c>
    </row>
    <row r="38" ht="20" customHeight="1">
      <c r="A38" s="11" t="inlineStr">
        <is>
          <t>FONETICA Y FONOLOGIA II</t>
        </is>
      </c>
      <c r="B38" s="9" t="inlineStr">
        <is>
          <t>NO</t>
        </is>
      </c>
      <c r="C38" s="9" t="inlineStr">
        <is>
          <t>NO</t>
        </is>
      </c>
      <c r="D38" s="12" t="inlineStr">
        <is>
          <t>General / Optativas</t>
        </is>
      </c>
      <c r="E38" s="9">
        <f>IF(OR(B38="SI",B38="SÍ",B38=TRUE),"REGULAR","PENDIENTE")</f>
        <v/>
      </c>
      <c r="F38" s="9">
        <f>IF(OR(C38="SI",C38="SÍ",C38=TRUE),"APROBADA",IF(OR(B38="SI",B38="SÍ",B38=TRUE),"RINDE FINAL","ADEUDA"))</f>
        <v/>
      </c>
      <c r="G38" s="9">
        <f>IF(OR(C38="SI",C38="SÍ",C38=TRUE),"✅ Aprobada",IF(OR(B38="SI",B38="SÍ",B38=TRUE),"⏳ Cursada (Rinde Final)","⚪ Pendiente"))</f>
        <v/>
      </c>
    </row>
    <row r="39" ht="20" customHeight="1">
      <c r="A39" s="8" t="inlineStr">
        <is>
          <t>HISTORIA DE LA LENGUA ITALIANA</t>
        </is>
      </c>
      <c r="B39" s="9" t="inlineStr">
        <is>
          <t>NO</t>
        </is>
      </c>
      <c r="C39" s="9" t="inlineStr">
        <is>
          <t>NO</t>
        </is>
      </c>
      <c r="D39" s="10" t="inlineStr">
        <is>
          <t>General / Optativas</t>
        </is>
      </c>
      <c r="E39" s="9">
        <f>IF(OR(B39="SI",B39="SÍ",B39=TRUE),"REGULAR","PENDIENTE")</f>
        <v/>
      </c>
      <c r="F39" s="9">
        <f>IF(OR(C39="SI",C39="SÍ",C39=TRUE),"APROBADA",IF(OR(B39="SI",B39="SÍ",B39=TRUE),"RINDE FINAL","ADEUDA"))</f>
        <v/>
      </c>
      <c r="G39" s="9">
        <f>IF(OR(C39="SI",C39="SÍ",C39=TRUE),"✅ Aprobada",IF(OR(B39="SI",B39="SÍ",B39=TRUE),"⏳ Cursada (Rinde Final)","⚪ Pendiente"))</f>
        <v/>
      </c>
    </row>
    <row r="40" ht="20" customHeight="1">
      <c r="A40" s="11" t="inlineStr">
        <is>
          <t>HISTORIA ROMANA Y MEDIEVAL</t>
        </is>
      </c>
      <c r="B40" s="9" t="inlineStr">
        <is>
          <t>NO</t>
        </is>
      </c>
      <c r="C40" s="9" t="inlineStr">
        <is>
          <t>NO</t>
        </is>
      </c>
      <c r="D40" s="12" t="inlineStr">
        <is>
          <t>General / Optativas</t>
        </is>
      </c>
      <c r="E40" s="9">
        <f>IF(OR(B40="SI",B40="SÍ",B40=TRUE),"REGULAR","PENDIENTE")</f>
        <v/>
      </c>
      <c r="F40" s="9">
        <f>IF(OR(C40="SI",C40="SÍ",C40=TRUE),"APROBADA",IF(OR(B40="SI",B40="SÍ",B40=TRUE),"RINDE FINAL","ADEUDA"))</f>
        <v/>
      </c>
      <c r="G40" s="9">
        <f>IF(OR(C40="SI",C40="SÍ",C40=TRUE),"✅ Aprobada",IF(OR(B40="SI",B40="SÍ",B40=TRUE),"⏳ Cursada (Rinde Final)","⚪ Pendiente"))</f>
        <v/>
      </c>
    </row>
    <row r="41" ht="20" customHeight="1">
      <c r="A41" s="8" t="inlineStr">
        <is>
          <t>LA ENS. DEL ITAL. A PARTIR DEL ARTE ITALIANO</t>
        </is>
      </c>
      <c r="B41" s="9" t="inlineStr">
        <is>
          <t>NO</t>
        </is>
      </c>
      <c r="C41" s="9" t="inlineStr">
        <is>
          <t>NO</t>
        </is>
      </c>
      <c r="D41" s="10" t="inlineStr">
        <is>
          <t>General / Optativas</t>
        </is>
      </c>
      <c r="E41" s="9">
        <f>IF(OR(B41="SI",B41="SÍ",B41=TRUE),"REGULAR","PENDIENTE")</f>
        <v/>
      </c>
      <c r="F41" s="9">
        <f>IF(OR(C41="SI",C41="SÍ",C41=TRUE),"APROBADA",IF(OR(B41="SI",B41="SÍ",B41=TRUE),"RINDE FINAL","ADEUDA"))</f>
        <v/>
      </c>
      <c r="G41" s="9">
        <f>IF(OR(C41="SI",C41="SÍ",C41=TRUE),"✅ Aprobada",IF(OR(B41="SI",B41="SÍ",B41=TRUE),"⏳ Cursada (Rinde Final)","⚪ Pendiente"))</f>
        <v/>
      </c>
    </row>
    <row r="42" ht="20" customHeight="1">
      <c r="A42" s="11" t="inlineStr">
        <is>
          <t>LA ENS. DEL ITALIANO A PARTIR DEL CINE</t>
        </is>
      </c>
      <c r="B42" s="9" t="inlineStr">
        <is>
          <t>NO</t>
        </is>
      </c>
      <c r="C42" s="9" t="inlineStr">
        <is>
          <t>NO</t>
        </is>
      </c>
      <c r="D42" s="12" t="inlineStr">
        <is>
          <t>General / Optativas</t>
        </is>
      </c>
      <c r="E42" s="9">
        <f>IF(OR(B42="SI",B42="SÍ",B42=TRUE),"REGULAR","PENDIENTE")</f>
        <v/>
      </c>
      <c r="F42" s="9">
        <f>IF(OR(C42="SI",C42="SÍ",C42=TRUE),"APROBADA",IF(OR(B42="SI",B42="SÍ",B42=TRUE),"RINDE FINAL","ADEUDA"))</f>
        <v/>
      </c>
      <c r="G42" s="9">
        <f>IF(OR(C42="SI",C42="SÍ",C42=TRUE),"✅ Aprobada",IF(OR(B42="SI",B42="SÍ",B42=TRUE),"⏳ Cursada (Rinde Final)","⚪ Pendiente"))</f>
        <v/>
      </c>
    </row>
    <row r="43" ht="20" customHeight="1">
      <c r="A43" s="8" t="inlineStr">
        <is>
          <t>LA ENS. DEL ITALIANO Y LA DIVINA COMEDIA I</t>
        </is>
      </c>
      <c r="B43" s="9" t="inlineStr">
        <is>
          <t>NO</t>
        </is>
      </c>
      <c r="C43" s="9" t="inlineStr">
        <is>
          <t>NO</t>
        </is>
      </c>
      <c r="D43" s="10" t="inlineStr">
        <is>
          <t>General / Optativas</t>
        </is>
      </c>
      <c r="E43" s="9">
        <f>IF(OR(B43="SI",B43="SÍ",B43=TRUE),"REGULAR","PENDIENTE")</f>
        <v/>
      </c>
      <c r="F43" s="9">
        <f>IF(OR(C43="SI",C43="SÍ",C43=TRUE),"APROBADA",IF(OR(B43="SI",B43="SÍ",B43=TRUE),"RINDE FINAL","ADEUDA"))</f>
        <v/>
      </c>
      <c r="G43" s="9">
        <f>IF(OR(C43="SI",C43="SÍ",C43=TRUE),"✅ Aprobada",IF(OR(B43="SI",B43="SÍ",B43=TRUE),"⏳ Cursada (Rinde Final)","⚪ Pendiente"))</f>
        <v/>
      </c>
    </row>
    <row r="44" ht="20" customHeight="1">
      <c r="A44" s="11" t="inlineStr">
        <is>
          <t>LA ENS. DEL ITALIANO Y LA DIVINA COMEDIA II</t>
        </is>
      </c>
      <c r="B44" s="9" t="inlineStr">
        <is>
          <t>NO</t>
        </is>
      </c>
      <c r="C44" s="9" t="inlineStr">
        <is>
          <t>NO</t>
        </is>
      </c>
      <c r="D44" s="12" t="inlineStr">
        <is>
          <t>General / Optativas</t>
        </is>
      </c>
      <c r="E44" s="9">
        <f>IF(OR(B44="SI",B44="SÍ",B44=TRUE),"REGULAR","PENDIENTE")</f>
        <v/>
      </c>
      <c r="F44" s="9">
        <f>IF(OR(C44="SI",C44="SÍ",C44=TRUE),"APROBADA",IF(OR(B44="SI",B44="SÍ",B44=TRUE),"RINDE FINAL","ADEUDA"))</f>
        <v/>
      </c>
      <c r="G44" s="9">
        <f>IF(OR(C44="SI",C44="SÍ",C44=TRUE),"✅ Aprobada",IF(OR(B44="SI",B44="SÍ",B44=TRUE),"⏳ Cursada (Rinde Final)","⚪ Pendiente"))</f>
        <v/>
      </c>
    </row>
    <row r="45" ht="20" customHeight="1">
      <c r="A45" s="8" t="inlineStr">
        <is>
          <t>LA ENSEÑANZA DEL ITALIANO A PARTIR DE LAS CULTURAS REGIONALES</t>
        </is>
      </c>
      <c r="B45" s="9" t="inlineStr">
        <is>
          <t>NO</t>
        </is>
      </c>
      <c r="C45" s="9" t="inlineStr">
        <is>
          <t>NO</t>
        </is>
      </c>
      <c r="D45" s="10" t="inlineStr">
        <is>
          <t>General / Optativas</t>
        </is>
      </c>
      <c r="E45" s="9">
        <f>IF(OR(B45="SI",B45="SÍ",B45=TRUE),"REGULAR","PENDIENTE")</f>
        <v/>
      </c>
      <c r="F45" s="9">
        <f>IF(OR(C45="SI",C45="SÍ",C45=TRUE),"APROBADA",IF(OR(B45="SI",B45="SÍ",B45=TRUE),"RINDE FINAL","ADEUDA"))</f>
        <v/>
      </c>
      <c r="G45" s="9">
        <f>IF(OR(C45="SI",C45="SÍ",C45=TRUE),"✅ Aprobada",IF(OR(B45="SI",B45="SÍ",B45=TRUE),"⏳ Cursada (Rinde Final)","⚪ Pendiente"))</f>
        <v/>
      </c>
    </row>
    <row r="46" ht="20" customHeight="1">
      <c r="A46" s="11" t="inlineStr">
        <is>
          <t>LATIN I</t>
        </is>
      </c>
      <c r="B46" s="9" t="inlineStr">
        <is>
          <t>NO</t>
        </is>
      </c>
      <c r="C46" s="9" t="inlineStr">
        <is>
          <t>NO</t>
        </is>
      </c>
      <c r="D46" s="12" t="inlineStr">
        <is>
          <t>General / Optativas</t>
        </is>
      </c>
      <c r="E46" s="9">
        <f>IF(OR(B46="SI",B46="SÍ",B46=TRUE),"REGULAR","PENDIENTE")</f>
        <v/>
      </c>
      <c r="F46" s="9">
        <f>IF(OR(C46="SI",C46="SÍ",C46=TRUE),"APROBADA",IF(OR(B46="SI",B46="SÍ",B46=TRUE),"RINDE FINAL","ADEUDA"))</f>
        <v/>
      </c>
      <c r="G46" s="9">
        <f>IF(OR(C46="SI",C46="SÍ",C46=TRUE),"✅ Aprobada",IF(OR(B46="SI",B46="SÍ",B46=TRUE),"⏳ Cursada (Rinde Final)","⚪ Pendiente"))</f>
        <v/>
      </c>
    </row>
    <row r="47" ht="20" customHeight="1">
      <c r="A47" s="8" t="inlineStr">
        <is>
          <t>LENGUA EXTRANJERA FRANCES I (1 cuat)</t>
        </is>
      </c>
      <c r="B47" s="9" t="inlineStr">
        <is>
          <t>NO</t>
        </is>
      </c>
      <c r="C47" s="9" t="inlineStr">
        <is>
          <t>NO</t>
        </is>
      </c>
      <c r="D47" s="10" t="inlineStr">
        <is>
          <t>General / Optativas</t>
        </is>
      </c>
      <c r="E47" s="9">
        <f>IF(OR(B47="SI",B47="SÍ",B47=TRUE),"REGULAR","PENDIENTE")</f>
        <v/>
      </c>
      <c r="F47" s="9">
        <f>IF(OR(C47="SI",C47="SÍ",C47=TRUE),"APROBADA",IF(OR(B47="SI",B47="SÍ",B47=TRUE),"RINDE FINAL","ADEUDA"))</f>
        <v/>
      </c>
      <c r="G47" s="9">
        <f>IF(OR(C47="SI",C47="SÍ",C47=TRUE),"✅ Aprobada",IF(OR(B47="SI",B47="SÍ",B47=TRUE),"⏳ Cursada (Rinde Final)","⚪ Pendiente"))</f>
        <v/>
      </c>
    </row>
    <row r="48" ht="20" customHeight="1">
      <c r="A48" s="11" t="inlineStr">
        <is>
          <t>LENGUA ITALIANA I</t>
        </is>
      </c>
      <c r="B48" s="9" t="inlineStr">
        <is>
          <t>NO</t>
        </is>
      </c>
      <c r="C48" s="9" t="inlineStr">
        <is>
          <t>NO</t>
        </is>
      </c>
      <c r="D48" s="12" t="inlineStr">
        <is>
          <t>General / Optativas</t>
        </is>
      </c>
      <c r="E48" s="9">
        <f>IF(OR(B48="SI",B48="SÍ",B48=TRUE),"REGULAR","PENDIENTE")</f>
        <v/>
      </c>
      <c r="F48" s="9">
        <f>IF(OR(C48="SI",C48="SÍ",C48=TRUE),"APROBADA",IF(OR(B48="SI",B48="SÍ",B48=TRUE),"RINDE FINAL","ADEUDA"))</f>
        <v/>
      </c>
      <c r="G48" s="9">
        <f>IF(OR(C48="SI",C48="SÍ",C48=TRUE),"✅ Aprobada",IF(OR(B48="SI",B48="SÍ",B48=TRUE),"⏳ Cursada (Rinde Final)","⚪ Pendiente"))</f>
        <v/>
      </c>
    </row>
    <row r="49" ht="20" customHeight="1">
      <c r="A49" s="8" t="inlineStr">
        <is>
          <t>LENGUA ITALIANA II</t>
        </is>
      </c>
      <c r="B49" s="9" t="inlineStr">
        <is>
          <t>NO</t>
        </is>
      </c>
      <c r="C49" s="9" t="inlineStr">
        <is>
          <t>NO</t>
        </is>
      </c>
      <c r="D49" s="10" t="inlineStr">
        <is>
          <t>General / Optativas</t>
        </is>
      </c>
      <c r="E49" s="9">
        <f>IF(OR(B49="SI",B49="SÍ",B49=TRUE),"REGULAR","PENDIENTE")</f>
        <v/>
      </c>
      <c r="F49" s="9">
        <f>IF(OR(C49="SI",C49="SÍ",C49=TRUE),"APROBADA",IF(OR(B49="SI",B49="SÍ",B49=TRUE),"RINDE FINAL","ADEUDA"))</f>
        <v/>
      </c>
      <c r="G49" s="9">
        <f>IF(OR(C49="SI",C49="SÍ",C49=TRUE),"✅ Aprobada",IF(OR(B49="SI",B49="SÍ",B49=TRUE),"⏳ Cursada (Rinde Final)","⚪ Pendiente"))</f>
        <v/>
      </c>
    </row>
    <row r="50" ht="20" customHeight="1">
      <c r="A50" s="11" t="inlineStr">
        <is>
          <t>LENGUA ITALIANA III</t>
        </is>
      </c>
      <c r="B50" s="9" t="inlineStr">
        <is>
          <t>NO</t>
        </is>
      </c>
      <c r="C50" s="9" t="inlineStr">
        <is>
          <t>NO</t>
        </is>
      </c>
      <c r="D50" s="12" t="inlineStr">
        <is>
          <t>General / Optativas</t>
        </is>
      </c>
      <c r="E50" s="9">
        <f>IF(OR(B50="SI",B50="SÍ",B50=TRUE),"REGULAR","PENDIENTE")</f>
        <v/>
      </c>
      <c r="F50" s="9">
        <f>IF(OR(C50="SI",C50="SÍ",C50=TRUE),"APROBADA",IF(OR(B50="SI",B50="SÍ",B50=TRUE),"RINDE FINAL","ADEUDA"))</f>
        <v/>
      </c>
      <c r="G50" s="9">
        <f>IF(OR(C50="SI",C50="SÍ",C50=TRUE),"✅ Aprobada",IF(OR(B50="SI",B50="SÍ",B50=TRUE),"⏳ Cursada (Rinde Final)","⚪ Pendiente"))</f>
        <v/>
      </c>
    </row>
    <row r="51" ht="20" customHeight="1">
      <c r="A51" s="8" t="inlineStr">
        <is>
          <t>LENGUA ITALIANA IV (1° CUAT)</t>
        </is>
      </c>
      <c r="B51" s="9" t="inlineStr">
        <is>
          <t>NO</t>
        </is>
      </c>
      <c r="C51" s="9" t="inlineStr">
        <is>
          <t>NO</t>
        </is>
      </c>
      <c r="D51" s="10" t="inlineStr">
        <is>
          <t>General / Optativas</t>
        </is>
      </c>
      <c r="E51" s="9">
        <f>IF(OR(B51="SI",B51="SÍ",B51=TRUE),"REGULAR","PENDIENTE")</f>
        <v/>
      </c>
      <c r="F51" s="9">
        <f>IF(OR(C51="SI",C51="SÍ",C51=TRUE),"APROBADA",IF(OR(B51="SI",B51="SÍ",B51=TRUE),"RINDE FINAL","ADEUDA"))</f>
        <v/>
      </c>
      <c r="G51" s="9">
        <f>IF(OR(C51="SI",C51="SÍ",C51=TRUE),"✅ Aprobada",IF(OR(B51="SI",B51="SÍ",B51=TRUE),"⏳ Cursada (Rinde Final)","⚪ Pendiente"))</f>
        <v/>
      </c>
    </row>
    <row r="52" ht="20" customHeight="1">
      <c r="A52" s="11" t="inlineStr">
        <is>
          <t>LENGUA ITALIANA IV (1º CUATR.)</t>
        </is>
      </c>
      <c r="B52" s="9" t="inlineStr">
        <is>
          <t>NO</t>
        </is>
      </c>
      <c r="C52" s="9" t="inlineStr">
        <is>
          <t>NO</t>
        </is>
      </c>
      <c r="D52" s="12" t="inlineStr">
        <is>
          <t>General / Optativas</t>
        </is>
      </c>
      <c r="E52" s="9">
        <f>IF(OR(B52="SI",B52="SÍ",B52=TRUE),"REGULAR","PENDIENTE")</f>
        <v/>
      </c>
      <c r="F52" s="9">
        <f>IF(OR(C52="SI",C52="SÍ",C52=TRUE),"APROBADA",IF(OR(B52="SI",B52="SÍ",B52=TRUE),"RINDE FINAL","ADEUDA"))</f>
        <v/>
      </c>
      <c r="G52" s="9">
        <f>IF(OR(C52="SI",C52="SÍ",C52=TRUE),"✅ Aprobada",IF(OR(B52="SI",B52="SÍ",B52=TRUE),"⏳ Cursada (Rinde Final)","⚪ Pendiente"))</f>
        <v/>
      </c>
    </row>
    <row r="53" ht="20" customHeight="1">
      <c r="A53" s="8" t="inlineStr">
        <is>
          <t>LITERATURA ITAL. DEL ROMANT. Y S. XX</t>
        </is>
      </c>
      <c r="B53" s="9" t="inlineStr">
        <is>
          <t>NO</t>
        </is>
      </c>
      <c r="C53" s="9" t="inlineStr">
        <is>
          <t>NO</t>
        </is>
      </c>
      <c r="D53" s="10" t="inlineStr">
        <is>
          <t>General / Optativas</t>
        </is>
      </c>
      <c r="E53" s="9">
        <f>IF(OR(B53="SI",B53="SÍ",B53=TRUE),"REGULAR","PENDIENTE")</f>
        <v/>
      </c>
      <c r="F53" s="9">
        <f>IF(OR(C53="SI",C53="SÍ",C53=TRUE),"APROBADA",IF(OR(B53="SI",B53="SÍ",B53=TRUE),"RINDE FINAL","ADEUDA"))</f>
        <v/>
      </c>
      <c r="G53" s="9">
        <f>IF(OR(C53="SI",C53="SÍ",C53=TRUE),"✅ Aprobada",IF(OR(B53="SI",B53="SÍ",B53=TRUE),"⏳ Cursada (Rinde Final)","⚪ Pendiente"))</f>
        <v/>
      </c>
    </row>
    <row r="54" ht="20" customHeight="1">
      <c r="A54" s="11" t="inlineStr">
        <is>
          <t>NUEVAS TECNOLOGIAS (cuat.)</t>
        </is>
      </c>
      <c r="B54" s="9" t="inlineStr">
        <is>
          <t>NO</t>
        </is>
      </c>
      <c r="C54" s="9" t="inlineStr">
        <is>
          <t>NO</t>
        </is>
      </c>
      <c r="D54" s="12" t="inlineStr">
        <is>
          <t>General / Optativas</t>
        </is>
      </c>
      <c r="E54" s="9">
        <f>IF(OR(B54="SI",B54="SÍ",B54=TRUE),"REGULAR","PENDIENTE")</f>
        <v/>
      </c>
      <c r="F54" s="9">
        <f>IF(OR(C54="SI",C54="SÍ",C54=TRUE),"APROBADA",IF(OR(B54="SI",B54="SÍ",B54=TRUE),"RINDE FINAL","ADEUDA"))</f>
        <v/>
      </c>
      <c r="G54" s="9">
        <f>IF(OR(C54="SI",C54="SÍ",C54=TRUE),"✅ Aprobada",IF(OR(B54="SI",B54="SÍ",B54=TRUE),"⏳ Cursada (Rinde Final)","⚪ Pendiente"))</f>
        <v/>
      </c>
    </row>
  </sheetData>
  <mergeCells count="17">
    <mergeCell ref="A14:G14"/>
    <mergeCell ref="I12:J12"/>
    <mergeCell ref="A1:G1"/>
    <mergeCell ref="A9:G9"/>
    <mergeCell ref="I16:J16"/>
    <mergeCell ref="I15:J15"/>
    <mergeCell ref="A34:G34"/>
    <mergeCell ref="A4:G4"/>
    <mergeCell ref="I11:J11"/>
    <mergeCell ref="A24:G24"/>
    <mergeCell ref="A2:G2"/>
    <mergeCell ref="A29:G29"/>
    <mergeCell ref="I13:J13"/>
    <mergeCell ref="I14:J14"/>
    <mergeCell ref="A19:G19"/>
    <mergeCell ref="I17:J17"/>
    <mergeCell ref="I3:J3"/>
  </mergeCells>
  <dataValidations count="1">
    <dataValidation sqref="B4:C54" showInputMessage="0" showErrorMessage="0" allowBlank="1" type="list">
      <formula1>"SI,NO"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2026-08-31T00:07:27Z</dcterms:created>
  <dcterms:modified xmlns:dcterms="http://purl.org/dc/terms/" xmlns:xsi="http://www.w3.org/2001/XMLSchema-instance" xsi:type="dcterms:W3CDTF">2026-08-31T00:07:27Z</dcterms:modified>
</cp:coreProperties>
</file>