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8"/>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ITALIANO</t>
        </is>
      </c>
      <c r="I1" s="2" t="inlineStr">
        <is>
          <t>CONTROL DE TRAYECTORIA</t>
        </is>
      </c>
    </row>
    <row r="2" ht="22" customHeight="1">
      <c r="A2" s="3" t="inlineStr">
        <is>
          <t>La Caravana + Estudiantes Independientes | Altillo JVG - ISP Joaquín V. González</t>
        </is>
      </c>
      <c r="I2" s="4" t="inlineStr">
        <is>
          <t>Total de Materias del Plan</t>
        </is>
      </c>
      <c r="J2" s="5" t="n">
        <v>49</v>
      </c>
    </row>
    <row r="3" ht="22" customHeight="1">
      <c r="I3" s="4" t="inlineStr">
        <is>
          <t>Materias con Cursada Regular</t>
        </is>
      </c>
      <c r="J3" s="5">
        <f>COUNTIF(B6:B58,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COUNTIF(C6:C58, "SI")</f>
        <v/>
      </c>
    </row>
    <row r="5" ht="22" customHeight="1">
      <c r="A5" s="7" t="inlineStr">
        <is>
          <t>📌 1° AÑO</t>
        </is>
      </c>
      <c r="I5" s="4" t="inlineStr">
        <is>
          <t>Finales Adeudados</t>
        </is>
      </c>
      <c r="J5" s="5">
        <f>COUNTIF(F6:F58, "ADEUDA FINAL")</f>
        <v/>
      </c>
    </row>
    <row r="6" ht="22" customHeight="1">
      <c r="A6" s="8" t="inlineStr">
        <is>
          <t>Lengua italiana 1</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COUNTIF(B6:B58, "SI")/49</f>
        <v/>
      </c>
    </row>
    <row r="7" ht="22" customHeight="1">
      <c r="A7" s="8" t="inlineStr">
        <is>
          <t>Gramatica italiana 1</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COUNTIF(C6:C58, "SI")/49</f>
        <v/>
      </c>
    </row>
    <row r="8" ht="20" customHeight="1">
      <c r="A8" s="8" t="inlineStr">
        <is>
          <t>Fonterica y fonologia 1</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Literatura italiana medieval</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Historia Romana y medieval</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La enseñanza del Italiano a partir de las culturas regionales</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La enseñanza del Italiano a partir del cine y teatro italianos</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Lectura, escritura y oralidad</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Pedagogía</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Psicología Educacional</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Psicologia y Sujetos del nivel</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0" customHeight="1">
      <c r="A17" s="8" t="inlineStr">
        <is>
          <t>Trabajo de Campo I</t>
        </is>
      </c>
      <c r="B17" s="9" t="inlineStr">
        <is>
          <t>NO</t>
        </is>
      </c>
      <c r="C17" s="9" t="inlineStr">
        <is>
          <t>NO</t>
        </is>
      </c>
      <c r="D17" s="10" t="inlineStr">
        <is>
          <t>1° Año</t>
        </is>
      </c>
      <c r="E17" s="10">
        <f>IF(B17="SI", "REGULAR", "PENDIENTE")</f>
        <v/>
      </c>
      <c r="F17" s="10">
        <f>IF(C17="SI", "APROBADO", IF(B17="SI", "ADEUDA FINAL", "ADEUDA"))</f>
        <v/>
      </c>
      <c r="G17" s="11">
        <f>IF(C17="SI", "🟢 Aprobada", IF(B17="SI", "🟡 Regular", "🟣 Pendiente"))</f>
        <v/>
      </c>
    </row>
    <row r="18" ht="20" customHeight="1">
      <c r="A18" s="8" t="inlineStr">
        <is>
          <t>Taller de consolidacion de la lengua italiana</t>
        </is>
      </c>
      <c r="B18" s="9" t="inlineStr">
        <is>
          <t>NO</t>
        </is>
      </c>
      <c r="C18" s="9" t="inlineStr">
        <is>
          <t>NO</t>
        </is>
      </c>
      <c r="D18" s="10" t="inlineStr">
        <is>
          <t>1° Año</t>
        </is>
      </c>
      <c r="E18" s="10">
        <f>IF(B18="SI", "REGULAR", "PENDIENTE")</f>
        <v/>
      </c>
      <c r="F18" s="10">
        <f>IF(C18="SI", "APROBADO", IF(B18="SI", "ADEUDA FINAL", "ADEUDA"))</f>
        <v/>
      </c>
      <c r="G18" s="11">
        <f>IF(C18="SI", "🟢 Aprobada", IF(B18="SI", "🟡 Regular", "🟣 Pendiente"))</f>
        <v/>
      </c>
    </row>
    <row r="19" ht="22" customHeight="1">
      <c r="A19" s="7" t="inlineStr">
        <is>
          <t>📌 2° AÑO</t>
        </is>
      </c>
    </row>
    <row r="20" ht="20" customHeight="1">
      <c r="A20" s="8" t="inlineStr">
        <is>
          <t>Lengua italiana 2</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Gramatica italiana 2</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Fonterica y fonologia 2</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Literatura del humanismo y del renacimiento</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Historia italiana moderna</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Latin 1</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Didactica general</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Trabajo de Campo II</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0" customHeight="1">
      <c r="A28" s="8" t="inlineStr">
        <is>
          <t>La enseñanza del italiano y la divina comedia 1</t>
        </is>
      </c>
      <c r="B28" s="9" t="inlineStr">
        <is>
          <t>NO</t>
        </is>
      </c>
      <c r="C28" s="9" t="inlineStr">
        <is>
          <t>NO</t>
        </is>
      </c>
      <c r="D28" s="10" t="inlineStr">
        <is>
          <t>2° Año</t>
        </is>
      </c>
      <c r="E28" s="10">
        <f>IF(B28="SI", "REGULAR", "PENDIENTE")</f>
        <v/>
      </c>
      <c r="F28" s="10">
        <f>IF(C28="SI", "APROBADO", IF(B28="SI", "ADEUDA FINAL", "ADEUDA"))</f>
        <v/>
      </c>
      <c r="G28" s="11">
        <f>IF(C28="SI", "🟢 Aprobada", IF(B28="SI", "🟡 Regular", "🟣 Pendiente"))</f>
        <v/>
      </c>
    </row>
    <row r="29" ht="20" customHeight="1">
      <c r="A29" s="8" t="inlineStr">
        <is>
          <t>Nuevas tecnologias</t>
        </is>
      </c>
      <c r="B29" s="9" t="inlineStr">
        <is>
          <t>NO</t>
        </is>
      </c>
      <c r="C29" s="9" t="inlineStr">
        <is>
          <t>NO</t>
        </is>
      </c>
      <c r="D29" s="10" t="inlineStr">
        <is>
          <t>2° Año</t>
        </is>
      </c>
      <c r="E29" s="10">
        <f>IF(B29="SI", "REGULAR", "PENDIENTE")</f>
        <v/>
      </c>
      <c r="F29" s="10">
        <f>IF(C29="SI", "APROBADO", IF(B29="SI", "ADEUDA FINAL", "ADEUDA"))</f>
        <v/>
      </c>
      <c r="G29" s="11">
        <f>IF(C29="SI", "🟢 Aprobada", IF(B29="SI", "🟡 Regular", "🟣 Pendiente"))</f>
        <v/>
      </c>
    </row>
    <row r="30" ht="22" customHeight="1">
      <c r="A30" s="7" t="inlineStr">
        <is>
          <t>📌 3° AÑO</t>
        </is>
      </c>
    </row>
    <row r="31" ht="20" customHeight="1">
      <c r="A31" s="8" t="inlineStr">
        <is>
          <t>Lengua italiana 3</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Literatura italiana del barroco y del iluminismo</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Latin 2</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Construcción de la practica docente en el nivel medio</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Filosofía</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Lingüistica</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0" customHeight="1">
      <c r="A37" s="8" t="inlineStr">
        <is>
          <t>Construcción de la practica docente en el nivel inicial y primario</t>
        </is>
      </c>
      <c r="B37" s="9" t="inlineStr">
        <is>
          <t>NO</t>
        </is>
      </c>
      <c r="C37" s="9" t="inlineStr">
        <is>
          <t>NO</t>
        </is>
      </c>
      <c r="D37" s="10" t="inlineStr">
        <is>
          <t>3° Año</t>
        </is>
      </c>
      <c r="E37" s="10">
        <f>IF(B37="SI", "REGULAR", "PENDIENTE")</f>
        <v/>
      </c>
      <c r="F37" s="10">
        <f>IF(C37="SI", "APROBADO", IF(B37="SI", "ADEUDA FINAL", "ADEUDA"))</f>
        <v/>
      </c>
      <c r="G37" s="11">
        <f>IF(C37="SI", "🟢 Aprobada", IF(B37="SI", "🟡 Regular", "🟣 Pendiente"))</f>
        <v/>
      </c>
    </row>
    <row r="38" ht="20" customHeight="1">
      <c r="A38" s="8" t="inlineStr">
        <is>
          <t>La enseñanza del italiano y la divina comedia 2</t>
        </is>
      </c>
      <c r="B38" s="9" t="inlineStr">
        <is>
          <t>NO</t>
        </is>
      </c>
      <c r="C38" s="9" t="inlineStr">
        <is>
          <t>NO</t>
        </is>
      </c>
      <c r="D38" s="10" t="inlineStr">
        <is>
          <t>3° Año</t>
        </is>
      </c>
      <c r="E38" s="10">
        <f>IF(B38="SI", "REGULAR", "PENDIENTE")</f>
        <v/>
      </c>
      <c r="F38" s="10">
        <f>IF(C38="SI", "APROBADO", IF(B38="SI", "ADEUDA FINAL", "ADEUDA"))</f>
        <v/>
      </c>
      <c r="G38" s="11">
        <f>IF(C38="SI", "🟢 Aprobada", IF(B38="SI", "🟡 Regular", "🟣 Pendiente"))</f>
        <v/>
      </c>
    </row>
    <row r="39" ht="20" customHeight="1">
      <c r="A39" s="8" t="inlineStr">
        <is>
          <t>Esi</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2" customHeight="1">
      <c r="A40" s="7" t="inlineStr">
        <is>
          <t>📌 4° AÑO</t>
        </is>
      </c>
    </row>
    <row r="41" ht="20" customHeight="1">
      <c r="A41" s="8" t="inlineStr">
        <is>
          <t>Lengua italina 4</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La enseñanza del italiano a partir del arte italiano</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Residencia en contextos de injerencia profesional / Didáctica especifica 2 y residencia</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Historia de la educación Argentina</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DDHH, sociedad y estado</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0" customHeight="1">
      <c r="A46" s="8" t="inlineStr">
        <is>
          <t>Sistema y política educativa</t>
        </is>
      </c>
      <c r="B46" s="9" t="inlineStr">
        <is>
          <t>NO</t>
        </is>
      </c>
      <c r="C46" s="9" t="inlineStr">
        <is>
          <t>NO</t>
        </is>
      </c>
      <c r="D46" s="10" t="inlineStr">
        <is>
          <t>4° Año</t>
        </is>
      </c>
      <c r="E46" s="10">
        <f>IF(B46="SI", "REGULAR", "PENDIENTE")</f>
        <v/>
      </c>
      <c r="F46" s="10">
        <f>IF(C46="SI", "APROBADO", IF(B46="SI", "ADEUDA FINAL", "ADEUDA"))</f>
        <v/>
      </c>
      <c r="G46" s="11">
        <f>IF(C46="SI", "🟢 Aprobada", IF(B46="SI", "🟡 Regular", "🟣 Pendiente"))</f>
        <v/>
      </c>
    </row>
    <row r="47" ht="20" customHeight="1">
      <c r="A47" s="8" t="inlineStr">
        <is>
          <t>Taller de didactica de la fonetica</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0" customHeight="1">
      <c r="A48" s="8" t="inlineStr">
        <is>
          <t>Lengua extranjera 1</t>
        </is>
      </c>
      <c r="B48" s="9" t="inlineStr">
        <is>
          <t>NO</t>
        </is>
      </c>
      <c r="C48" s="9" t="inlineStr">
        <is>
          <t>NO</t>
        </is>
      </c>
      <c r="D48" s="10" t="inlineStr">
        <is>
          <t>4° Año</t>
        </is>
      </c>
      <c r="E48" s="10">
        <f>IF(B48="SI", "REGULAR", "PENDIENTE")</f>
        <v/>
      </c>
      <c r="F48" s="10">
        <f>IF(C48="SI", "APROBADO", IF(B48="SI", "ADEUDA FINAL", "ADEUDA"))</f>
        <v/>
      </c>
      <c r="G48" s="11">
        <f>IF(C48="SI", "🟢 Aprobada", IF(B48="SI", "🟡 Regular", "🟣 Pendiente"))</f>
        <v/>
      </c>
    </row>
    <row r="49" ht="20" customHeight="1">
      <c r="A49" s="8" t="inlineStr">
        <is>
          <t>Lengua extranjera 2</t>
        </is>
      </c>
      <c r="B49" s="9" t="inlineStr">
        <is>
          <t>NO</t>
        </is>
      </c>
      <c r="C49" s="9" t="inlineStr">
        <is>
          <t>NO</t>
        </is>
      </c>
      <c r="D49" s="10" t="inlineStr">
        <is>
          <t>4° Año</t>
        </is>
      </c>
      <c r="E49" s="10">
        <f>IF(B49="SI", "REGULAR", "PENDIENTE")</f>
        <v/>
      </c>
      <c r="F49" s="10">
        <f>IF(C49="SI", "APROBADO", IF(B49="SI", "ADEUDA FINAL", "ADEUDA"))</f>
        <v/>
      </c>
      <c r="G49" s="11">
        <f>IF(C49="SI", "🟢 Aprobada", IF(B49="SI", "🟡 Regular", "🟣 Pendiente"))</f>
        <v/>
      </c>
    </row>
    <row r="50" ht="22" customHeight="1">
      <c r="A50" s="7" t="inlineStr">
        <is>
          <t>📌 5° AÑO</t>
        </is>
      </c>
    </row>
    <row r="51" ht="20" customHeight="1">
      <c r="A51" s="8" t="inlineStr">
        <is>
          <t>Historia civilización italina del risogimento y siglo xx</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Historia de la lengua italiana</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row r="53" ht="20" customHeight="1">
      <c r="A53" s="8" t="inlineStr">
        <is>
          <t>La enseñanza del italiano a partir de la musica italiana</t>
        </is>
      </c>
      <c r="B53" s="9" t="inlineStr">
        <is>
          <t>NO</t>
        </is>
      </c>
      <c r="C53" s="9" t="inlineStr">
        <is>
          <t>NO</t>
        </is>
      </c>
      <c r="D53" s="10" t="inlineStr">
        <is>
          <t>5° Año</t>
        </is>
      </c>
      <c r="E53" s="10">
        <f>IF(B53="SI", "REGULAR", "PENDIENTE")</f>
        <v/>
      </c>
      <c r="F53" s="10">
        <f>IF(C53="SI", "APROBADO", IF(B53="SI", "ADEUDA FINAL", "ADEUDA"))</f>
        <v/>
      </c>
      <c r="G53" s="11">
        <f>IF(C53="SI", "🟢 Aprobada", IF(B53="SI", "🟡 Regular", "🟣 Pendiente"))</f>
        <v/>
      </c>
    </row>
    <row r="54" ht="20" customHeight="1">
      <c r="A54" s="8" t="inlineStr">
        <is>
          <t>Taller de tecnicas de lectocomprensión e investigación</t>
        </is>
      </c>
      <c r="B54" s="9" t="inlineStr">
        <is>
          <t>NO</t>
        </is>
      </c>
      <c r="C54" s="9" t="inlineStr">
        <is>
          <t>NO</t>
        </is>
      </c>
      <c r="D54" s="10" t="inlineStr">
        <is>
          <t>5° Año</t>
        </is>
      </c>
      <c r="E54" s="10">
        <f>IF(B54="SI", "REGULAR", "PENDIENTE")</f>
        <v/>
      </c>
      <c r="F54" s="10">
        <f>IF(C54="SI", "APROBADO", IF(B54="SI", "ADEUDA FINAL", "ADEUDA"))</f>
        <v/>
      </c>
      <c r="G54" s="11">
        <f>IF(C54="SI", "🟢 Aprobada", IF(B54="SI", "🟡 Regular", "🟣 Pendiente"))</f>
        <v/>
      </c>
    </row>
    <row r="55" ht="20" customHeight="1">
      <c r="A55" s="8" t="inlineStr">
        <is>
          <t>Construcción de la práctica doncete en el nivel superior y residencia en contextos de injerencia profesional</t>
        </is>
      </c>
      <c r="B55" s="9" t="inlineStr">
        <is>
          <t>NO</t>
        </is>
      </c>
      <c r="C55" s="9" t="inlineStr">
        <is>
          <t>NO</t>
        </is>
      </c>
      <c r="D55" s="10" t="inlineStr">
        <is>
          <t>5° Año</t>
        </is>
      </c>
      <c r="E55" s="10">
        <f>IF(B55="SI", "REGULAR", "PENDIENTE")</f>
        <v/>
      </c>
      <c r="F55" s="10">
        <f>IF(C55="SI", "APROBADO", IF(B55="SI", "ADEUDA FINAL", "ADEUDA"))</f>
        <v/>
      </c>
      <c r="G55" s="11">
        <f>IF(C55="SI", "🟢 Aprobada", IF(B55="SI", "🟡 Regular", "🟣 Pendiente"))</f>
        <v/>
      </c>
    </row>
    <row r="56" ht="20" customHeight="1">
      <c r="A56" s="8" t="inlineStr">
        <is>
          <t>Lengua 5: Sociolingüistica</t>
        </is>
      </c>
      <c r="B56" s="9" t="inlineStr">
        <is>
          <t>NO</t>
        </is>
      </c>
      <c r="C56" s="9" t="inlineStr">
        <is>
          <t>NO</t>
        </is>
      </c>
      <c r="D56" s="10" t="inlineStr">
        <is>
          <t>5° Año</t>
        </is>
      </c>
      <c r="E56" s="10">
        <f>IF(B56="SI", "REGULAR", "PENDIENTE")</f>
        <v/>
      </c>
      <c r="F56" s="10">
        <f>IF(C56="SI", "APROBADO", IF(B56="SI", "ADEUDA FINAL", "ADEUDA"))</f>
        <v/>
      </c>
      <c r="G56" s="11">
        <f>IF(C56="SI", "🟢 Aprobada", IF(B56="SI", "🟡 Regular", "🟣 Pendiente"))</f>
        <v/>
      </c>
    </row>
    <row r="57" ht="20" customHeight="1">
      <c r="A57" s="8" t="inlineStr">
        <is>
          <t>Taller de la didáctica del italiano en el nivel superior</t>
        </is>
      </c>
      <c r="B57" s="9" t="inlineStr">
        <is>
          <t>NO</t>
        </is>
      </c>
      <c r="C57" s="9" t="inlineStr">
        <is>
          <t>NO</t>
        </is>
      </c>
      <c r="D57" s="10" t="inlineStr">
        <is>
          <t>5° Año</t>
        </is>
      </c>
      <c r="E57" s="10">
        <f>IF(B57="SI", "REGULAR", "PENDIENTE")</f>
        <v/>
      </c>
      <c r="F57" s="10">
        <f>IF(C57="SI", "APROBADO", IF(B57="SI", "ADEUDA FINAL", "ADEUDA"))</f>
        <v/>
      </c>
      <c r="G57" s="11">
        <f>IF(C57="SI", "🟢 Aprobada", IF(B57="SI", "🟡 Regular", "🟣 Pendiente"))</f>
        <v/>
      </c>
    </row>
    <row r="58" ht="20" customHeight="1">
      <c r="A58" s="8" t="inlineStr">
        <is>
          <t>• Taller de consolidación de la lengua italiana cursan con carácter obligatorio SOLO los ingresantes que hayan aprobado el examen de admisión con 5 (cinco) ó 6 (seis) puntos. Aquellos ingresantres que hayan obtenido 7 (siete) o más puntos estarán en condiciones de acreditar el Taller de consolidación y, por lo tanto, no deberán cursalo (Ver Acta de Acreditación de 2.11.2018).</t>
        </is>
      </c>
      <c r="B58" s="9" t="inlineStr">
        <is>
          <t>NO</t>
        </is>
      </c>
      <c r="C58" s="9" t="inlineStr">
        <is>
          <t>NO</t>
        </is>
      </c>
      <c r="D58" s="10" t="inlineStr">
        <is>
          <t>5° Año</t>
        </is>
      </c>
      <c r="E58" s="10">
        <f>IF(B58="SI", "REGULAR", "PENDIENTE")</f>
        <v/>
      </c>
      <c r="F58" s="10">
        <f>IF(C58="SI", "APROBADO", IF(B58="SI", "ADEUDA FINAL", "ADEUDA"))</f>
        <v/>
      </c>
      <c r="G58" s="11">
        <f>IF(C58="SI", "🟢 Aprobada", IF(B58="SI", "🟡 Regular", "🟣 Pendiente"))</f>
        <v/>
      </c>
    </row>
  </sheetData>
  <mergeCells count="15">
    <mergeCell ref="I12:J12"/>
    <mergeCell ref="A1:G1"/>
    <mergeCell ref="A40:G40"/>
    <mergeCell ref="I15:J15"/>
    <mergeCell ref="I10:J10"/>
    <mergeCell ref="A50:G50"/>
    <mergeCell ref="I1:K1"/>
    <mergeCell ref="I11:J11"/>
    <mergeCell ref="A30:G30"/>
    <mergeCell ref="A2:G2"/>
    <mergeCell ref="I13:J13"/>
    <mergeCell ref="I14:J14"/>
    <mergeCell ref="A19:G19"/>
    <mergeCell ref="I9:J9"/>
    <mergeCell ref="A5:G5"/>
  </mergeCells>
  <dataValidations count="1">
    <dataValidation sqref="B6 B7 B8 B9 B10 B11 B12 B13 B14 B15 B16 B17 B18 B20 B21 B22 B23 B24 B25 B26 B27 B28 B29 B31 B32 B33 B34 B35 B36 B37 B38 B39 B41 B42 B43 B44 B45 B46 B47 B48 B49 B51 B52 B53 B54 B55 B56 B57 B58 C6 C7 C8 C9 C10 C11 C12 C13 C14 C15 C16 C17 C18 C20 C21 C22 C23 C24 C25 C26 C27 C28 C29 C31 C32 C33 C34 C35 C36 C37 C38 C39 C41 C42 C43 C44 C45 C46 C47 C48 C49 C51 C52 C53 C54 C55 C56 C57 C58"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2026-08-31T01:47:26Z</dcterms:created>
  <dcterms:modified xmlns:dcterms="http://purl.org/dc/terms/" xmlns:xsi="http://www.w3.org/2001/XMLSchema-instance" xsi:type="dcterms:W3CDTF">2026-08-31T01:47:26Z</dcterms:modified>
</cp:coreProperties>
</file>