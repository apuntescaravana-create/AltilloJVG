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53"/>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CIENCIA POLÍTICA</t>
        </is>
      </c>
      <c r="I1" s="2" t="inlineStr">
        <is>
          <t>CONTROL DE TRAYECTORIA</t>
        </is>
      </c>
    </row>
    <row r="2" ht="22" customHeight="1">
      <c r="A2" s="3" t="inlineStr">
        <is>
          <t>La Caravana + Estudiantes Independientes | Altillo JVG - ISP Joaquín V. González</t>
        </is>
      </c>
      <c r="I2" s="4" t="inlineStr">
        <is>
          <t>Total de Materias del Plan</t>
        </is>
      </c>
      <c r="J2" s="5" t="n">
        <v>44</v>
      </c>
    </row>
    <row r="3" ht="22" customHeight="1">
      <c r="I3" s="4" t="inlineStr">
        <is>
          <t>Materias con Cursada Regular</t>
        </is>
      </c>
      <c r="J3" s="5">
        <f>COUNTIF(B6:B53,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COUNTIF(C6:C53, "SI")</f>
        <v/>
      </c>
    </row>
    <row r="5" ht="22" customHeight="1">
      <c r="A5" s="7" t="inlineStr">
        <is>
          <t>📌 1° AÑO</t>
        </is>
      </c>
      <c r="I5" s="4" t="inlineStr">
        <is>
          <t>Finales Adeudados</t>
        </is>
      </c>
      <c r="J5" s="5">
        <f>COUNTIF(F6:F53, "ADEUDA FINAL")</f>
        <v/>
      </c>
    </row>
    <row r="6" ht="22" customHeight="1">
      <c r="A6" s="8" t="inlineStr">
        <is>
          <t>Introducción a las ciencias sociales: Política y Jurídica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COUNTIF(B6:B53, "SI")/44</f>
        <v/>
      </c>
    </row>
    <row r="7" ht="22" customHeight="1">
      <c r="A7" s="8" t="inlineStr">
        <is>
          <t>Fundamentos de la ciencia política</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COUNTIF(C6:C53, "SI")/44</f>
        <v/>
      </c>
    </row>
    <row r="8" ht="20" customHeight="1">
      <c r="A8" s="8" t="inlineStr">
        <is>
          <t>Historia mundial contemporánea</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Historia del pensamiento político</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Historia de los hechos y de las ideas económicas</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Sociología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Antropología cultural</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Lectura, escritura y oralidad 1</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Pedagogía general</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Psicología Educacional</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Sujeto de nivel</t>
        </is>
      </c>
      <c r="B16" s="9" t="inlineStr">
        <is>
          <t>NO</t>
        </is>
      </c>
      <c r="C16" s="9" t="inlineStr">
        <is>
          <t>NO</t>
        </is>
      </c>
      <c r="D16" s="10" t="inlineStr">
        <is>
          <t>1° Año</t>
        </is>
      </c>
      <c r="E16" s="10">
        <f>IF(B16="SI", "REGULAR", "PENDIENTE")</f>
        <v/>
      </c>
      <c r="F16" s="10">
        <f>IF(C16="SI", "APROBADO", IF(B16="SI", "ADEUDA FINAL", "ADEUDA"))</f>
        <v/>
      </c>
      <c r="G16" s="11">
        <f>IF(C16="SI", "🟢 Aprobada", IF(B16="SI", "🟡 Regular", "🟣 Pendiente"))</f>
        <v/>
      </c>
    </row>
    <row r="17" ht="20" customHeight="1">
      <c r="A17" s="8" t="inlineStr">
        <is>
          <t>Trabajo de Campo I</t>
        </is>
      </c>
      <c r="B17" s="9" t="inlineStr">
        <is>
          <t>NO</t>
        </is>
      </c>
      <c r="C17" s="9" t="inlineStr">
        <is>
          <t>NO</t>
        </is>
      </c>
      <c r="D17" s="10" t="inlineStr">
        <is>
          <t>1° Año</t>
        </is>
      </c>
      <c r="E17" s="10">
        <f>IF(B17="SI", "REGULAR", "PENDIENTE")</f>
        <v/>
      </c>
      <c r="F17" s="10">
        <f>IF(C17="SI", "APROBADO", IF(B17="SI", "ADEUDA FINAL", "ADEUDA"))</f>
        <v/>
      </c>
      <c r="G17" s="11">
        <f>IF(C17="SI", "🟢 Aprobada", IF(B17="SI", "🟡 Regular", "🟣 Pendiente"))</f>
        <v/>
      </c>
    </row>
    <row r="18" ht="22" customHeight="1">
      <c r="A18" s="7" t="inlineStr">
        <is>
          <t>📌 2° AÑO</t>
        </is>
      </c>
    </row>
    <row r="19" ht="20" customHeight="1">
      <c r="A19" s="8" t="inlineStr">
        <is>
          <t>Teoría y prática política 1</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Historia política y social latinoamericana y Argentina contemporánea</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Historia de los movimientos políticos y sociales</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Derecho constitucional</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Economía política</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Didactica general</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0" customHeight="1">
      <c r="A25" s="8" t="inlineStr">
        <is>
          <t>Lectura, escritura y oralidad 2</t>
        </is>
      </c>
      <c r="B25" s="9" t="inlineStr">
        <is>
          <t>NO</t>
        </is>
      </c>
      <c r="C25" s="9" t="inlineStr">
        <is>
          <t>NO</t>
        </is>
      </c>
      <c r="D25" s="10" t="inlineStr">
        <is>
          <t>2° Año</t>
        </is>
      </c>
      <c r="E25" s="10">
        <f>IF(B25="SI", "REGULAR", "PENDIENTE")</f>
        <v/>
      </c>
      <c r="F25" s="10">
        <f>IF(C25="SI", "APROBADO", IF(B25="SI", "ADEUDA FINAL", "ADEUDA"))</f>
        <v/>
      </c>
      <c r="G25" s="11">
        <f>IF(C25="SI", "🟢 Aprobada", IF(B25="SI", "🟡 Regular", "🟣 Pendiente"))</f>
        <v/>
      </c>
    </row>
    <row r="26" ht="20" customHeight="1">
      <c r="A26" s="8" t="inlineStr">
        <is>
          <t>Filosofía</t>
        </is>
      </c>
      <c r="B26" s="9" t="inlineStr">
        <is>
          <t>NO</t>
        </is>
      </c>
      <c r="C26" s="9" t="inlineStr">
        <is>
          <t>NO</t>
        </is>
      </c>
      <c r="D26" s="10" t="inlineStr">
        <is>
          <t>2° Año</t>
        </is>
      </c>
      <c r="E26" s="10">
        <f>IF(B26="SI", "REGULAR", "PENDIENTE")</f>
        <v/>
      </c>
      <c r="F26" s="10">
        <f>IF(C26="SI", "APROBADO", IF(B26="SI", "ADEUDA FINAL", "ADEUDA"))</f>
        <v/>
      </c>
      <c r="G26" s="11">
        <f>IF(C26="SI", "🟢 Aprobada", IF(B26="SI", "🟡 Regular", "🟣 Pendiente"))</f>
        <v/>
      </c>
    </row>
    <row r="27" ht="20" customHeight="1">
      <c r="A27" s="8" t="inlineStr">
        <is>
          <t>Esi</t>
        </is>
      </c>
      <c r="B27" s="9" t="inlineStr">
        <is>
          <t>NO</t>
        </is>
      </c>
      <c r="C27" s="9" t="inlineStr">
        <is>
          <t>NO</t>
        </is>
      </c>
      <c r="D27" s="10" t="inlineStr">
        <is>
          <t>2° Año</t>
        </is>
      </c>
      <c r="E27" s="10">
        <f>IF(B27="SI", "REGULAR", "PENDIENTE")</f>
        <v/>
      </c>
      <c r="F27" s="10">
        <f>IF(C27="SI", "APROBADO", IF(B27="SI", "ADEUDA FINAL", "ADEUDA"))</f>
        <v/>
      </c>
      <c r="G27" s="11">
        <f>IF(C27="SI", "🟢 Aprobada", IF(B27="SI", "🟡 Regular", "🟣 Pendiente"))</f>
        <v/>
      </c>
    </row>
    <row r="28" ht="20" customHeight="1">
      <c r="A28" s="8" t="inlineStr">
        <is>
          <t>Trabajo de Campo II</t>
        </is>
      </c>
      <c r="B28" s="9" t="inlineStr">
        <is>
          <t>NO</t>
        </is>
      </c>
      <c r="C28" s="9" t="inlineStr">
        <is>
          <t>NO</t>
        </is>
      </c>
      <c r="D28" s="10" t="inlineStr">
        <is>
          <t>2° Año</t>
        </is>
      </c>
      <c r="E28" s="10">
        <f>IF(B28="SI", "REGULAR", "PENDIENTE")</f>
        <v/>
      </c>
      <c r="F28" s="10">
        <f>IF(C28="SI", "APROBADO", IF(B28="SI", "ADEUDA FINAL", "ADEUDA"))</f>
        <v/>
      </c>
      <c r="G28" s="11">
        <f>IF(C28="SI", "🟢 Aprobada", IF(B28="SI", "🟡 Regular", "🟣 Pendiente"))</f>
        <v/>
      </c>
    </row>
    <row r="29" ht="22" customHeight="1">
      <c r="A29" s="7" t="inlineStr">
        <is>
          <t>📌 3° AÑO</t>
        </is>
      </c>
    </row>
    <row r="30" ht="20" customHeight="1">
      <c r="A30" s="8" t="inlineStr">
        <is>
          <t>Teoría y prática política 2</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Movimientos políticos y sociales</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Gobierno y administración nacional, provincial y municipal</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Derecho a las relaciones internacionales</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Epistemología y metodología de la investigación</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0" customHeight="1">
      <c r="A35" s="8" t="inlineStr">
        <is>
          <t>Construcción de la práctica docente</t>
        </is>
      </c>
      <c r="B35" s="9" t="inlineStr">
        <is>
          <t>NO</t>
        </is>
      </c>
      <c r="C35" s="9" t="inlineStr">
        <is>
          <t>NO</t>
        </is>
      </c>
      <c r="D35" s="10" t="inlineStr">
        <is>
          <t>3° Año</t>
        </is>
      </c>
      <c r="E35" s="10">
        <f>IF(B35="SI", "REGULAR", "PENDIENTE")</f>
        <v/>
      </c>
      <c r="F35" s="10">
        <f>IF(C35="SI", "APROBADO", IF(B35="SI", "ADEUDA FINAL", "ADEUDA"))</f>
        <v/>
      </c>
      <c r="G35" s="11">
        <f>IF(C35="SI", "🟢 Aprobada", IF(B35="SI", "🟡 Regular", "🟣 Pendiente"))</f>
        <v/>
      </c>
    </row>
    <row r="36" ht="20" customHeight="1">
      <c r="A36" s="8" t="inlineStr">
        <is>
          <t>Enseñanza de la ciencia política 1</t>
        </is>
      </c>
      <c r="B36" s="9" t="inlineStr">
        <is>
          <t>NO</t>
        </is>
      </c>
      <c r="C36" s="9" t="inlineStr">
        <is>
          <t>NO</t>
        </is>
      </c>
      <c r="D36" s="10" t="inlineStr">
        <is>
          <t>3° Año</t>
        </is>
      </c>
      <c r="E36" s="10">
        <f>IF(B36="SI", "REGULAR", "PENDIENTE")</f>
        <v/>
      </c>
      <c r="F36" s="10">
        <f>IF(C36="SI", "APROBADO", IF(B36="SI", "ADEUDA FINAL", "ADEUDA"))</f>
        <v/>
      </c>
      <c r="G36" s="11">
        <f>IF(C36="SI", "🟢 Aprobada", IF(B36="SI", "🟡 Regular", "🟣 Pendiente"))</f>
        <v/>
      </c>
    </row>
    <row r="37" ht="20" customHeight="1">
      <c r="A37" s="8" t="inlineStr">
        <is>
          <t>Ecología y ambiente</t>
        </is>
      </c>
      <c r="B37" s="9" t="inlineStr">
        <is>
          <t>NO</t>
        </is>
      </c>
      <c r="C37" s="9" t="inlineStr">
        <is>
          <t>NO</t>
        </is>
      </c>
      <c r="D37" s="10" t="inlineStr">
        <is>
          <t>3° Año</t>
        </is>
      </c>
      <c r="E37" s="10">
        <f>IF(B37="SI", "REGULAR", "PENDIENTE")</f>
        <v/>
      </c>
      <c r="F37" s="10">
        <f>IF(C37="SI", "APROBADO", IF(B37="SI", "ADEUDA FINAL", "ADEUDA"))</f>
        <v/>
      </c>
      <c r="G37" s="11">
        <f>IF(C37="SI", "🟢 Aprobada", IF(B37="SI", "🟡 Regular", "🟣 Pendiente"))</f>
        <v/>
      </c>
    </row>
    <row r="38" ht="20" customHeight="1">
      <c r="A38" s="8" t="inlineStr">
        <is>
          <t>Historia de la educación Argentina</t>
        </is>
      </c>
      <c r="B38" s="9" t="inlineStr">
        <is>
          <t>NO</t>
        </is>
      </c>
      <c r="C38" s="9" t="inlineStr">
        <is>
          <t>NO</t>
        </is>
      </c>
      <c r="D38" s="10" t="inlineStr">
        <is>
          <t>3° Año</t>
        </is>
      </c>
      <c r="E38" s="10">
        <f>IF(B38="SI", "REGULAR", "PENDIENTE")</f>
        <v/>
      </c>
      <c r="F38" s="10">
        <f>IF(C38="SI", "APROBADO", IF(B38="SI", "ADEUDA FINAL", "ADEUDA"))</f>
        <v/>
      </c>
      <c r="G38" s="11">
        <f>IF(C38="SI", "🟢 Aprobada", IF(B38="SI", "🟡 Regular", "🟣 Pendiente"))</f>
        <v/>
      </c>
    </row>
    <row r="39" ht="20" customHeight="1">
      <c r="A39" s="8" t="inlineStr">
        <is>
          <t>DDHH, sociedad y estado</t>
        </is>
      </c>
      <c r="B39" s="9" t="inlineStr">
        <is>
          <t>NO</t>
        </is>
      </c>
      <c r="C39" s="9" t="inlineStr">
        <is>
          <t>NO</t>
        </is>
      </c>
      <c r="D39" s="10" t="inlineStr">
        <is>
          <t>3° Año</t>
        </is>
      </c>
      <c r="E39" s="10">
        <f>IF(B39="SI", "REGULAR", "PENDIENTE")</f>
        <v/>
      </c>
      <c r="F39" s="10">
        <f>IF(C39="SI", "APROBADO", IF(B39="SI", "ADEUDA FINAL", "ADEUDA"))</f>
        <v/>
      </c>
      <c r="G39" s="11">
        <f>IF(C39="SI", "🟢 Aprobada", IF(B39="SI", "🟡 Regular", "🟣 Pendiente"))</f>
        <v/>
      </c>
    </row>
    <row r="40" ht="20" customHeight="1">
      <c r="A40" s="8" t="inlineStr">
        <is>
          <t>Taller optativo: Estrategias para el analisis del discurso político</t>
        </is>
      </c>
      <c r="B40" s="9" t="inlineStr">
        <is>
          <t>NO</t>
        </is>
      </c>
      <c r="C40" s="9" t="inlineStr">
        <is>
          <t>NO</t>
        </is>
      </c>
      <c r="D40" s="10" t="inlineStr">
        <is>
          <t>3° Año</t>
        </is>
      </c>
      <c r="E40" s="10">
        <f>IF(B40="SI", "REGULAR", "PENDIENTE")</f>
        <v/>
      </c>
      <c r="F40" s="10">
        <f>IF(C40="SI", "APROBADO", IF(B40="SI", "ADEUDA FINAL", "ADEUDA"))</f>
        <v/>
      </c>
      <c r="G40" s="11">
        <f>IF(C40="SI", "🟢 Aprobada", IF(B40="SI", "🟡 Regular", "🟣 Pendiente"))</f>
        <v/>
      </c>
    </row>
    <row r="41" ht="22" customHeight="1">
      <c r="A41" s="7" t="inlineStr">
        <is>
          <t>📌 4° AÑO</t>
        </is>
      </c>
    </row>
    <row r="42" ht="20" customHeight="1">
      <c r="A42" s="8" t="inlineStr">
        <is>
          <t>Ética</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Relaciones internacionales</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0" customHeight="1">
      <c r="A44" s="8" t="inlineStr">
        <is>
          <t>Psicología política y social</t>
        </is>
      </c>
      <c r="B44" s="9" t="inlineStr">
        <is>
          <t>NO</t>
        </is>
      </c>
      <c r="C44" s="9" t="inlineStr">
        <is>
          <t>NO</t>
        </is>
      </c>
      <c r="D44" s="10" t="inlineStr">
        <is>
          <t>4° Año</t>
        </is>
      </c>
      <c r="E44" s="10">
        <f>IF(B44="SI", "REGULAR", "PENDIENTE")</f>
        <v/>
      </c>
      <c r="F44" s="10">
        <f>IF(C44="SI", "APROBADO", IF(B44="SI", "ADEUDA FINAL", "ADEUDA"))</f>
        <v/>
      </c>
      <c r="G44" s="11">
        <f>IF(C44="SI", "🟢 Aprobada", IF(B44="SI", "🟡 Regular", "🟣 Pendiente"))</f>
        <v/>
      </c>
    </row>
    <row r="45" ht="20" customHeight="1">
      <c r="A45" s="8" t="inlineStr">
        <is>
          <t>Política educacional y legislación escolar / Sistema y política educativa</t>
        </is>
      </c>
      <c r="B45" s="9" t="inlineStr">
        <is>
          <t>NO</t>
        </is>
      </c>
      <c r="C45" s="9" t="inlineStr">
        <is>
          <t>NO</t>
        </is>
      </c>
      <c r="D45" s="10" t="inlineStr">
        <is>
          <t>4° Año</t>
        </is>
      </c>
      <c r="E45" s="10">
        <f>IF(B45="SI", "REGULAR", "PENDIENTE")</f>
        <v/>
      </c>
      <c r="F45" s="10">
        <f>IF(C45="SI", "APROBADO", IF(B45="SI", "ADEUDA FINAL", "ADEUDA"))</f>
        <v/>
      </c>
      <c r="G45" s="11">
        <f>IF(C45="SI", "🟢 Aprobada", IF(B45="SI", "🟡 Regular", "🟣 Pendiente"))</f>
        <v/>
      </c>
    </row>
    <row r="46" ht="20" customHeight="1">
      <c r="A46" s="8" t="inlineStr">
        <is>
          <t>Lengua extranjera</t>
        </is>
      </c>
      <c r="B46" s="9" t="inlineStr">
        <is>
          <t>NO</t>
        </is>
      </c>
      <c r="C46" s="9" t="inlineStr">
        <is>
          <t>NO</t>
        </is>
      </c>
      <c r="D46" s="10" t="inlineStr">
        <is>
          <t>4° Año</t>
        </is>
      </c>
      <c r="E46" s="10">
        <f>IF(B46="SI", "REGULAR", "PENDIENTE")</f>
        <v/>
      </c>
      <c r="F46" s="10">
        <f>IF(C46="SI", "APROBADO", IF(B46="SI", "ADEUDA FINAL", "ADEUDA"))</f>
        <v/>
      </c>
      <c r="G46" s="11">
        <f>IF(C46="SI", "🟢 Aprobada", IF(B46="SI", "🟡 Regular", "🟣 Pendiente"))</f>
        <v/>
      </c>
    </row>
    <row r="47" ht="20" customHeight="1">
      <c r="A47" s="8" t="inlineStr">
        <is>
          <t>Nuevas tecnologias</t>
        </is>
      </c>
      <c r="B47" s="9" t="inlineStr">
        <is>
          <t>NO</t>
        </is>
      </c>
      <c r="C47" s="9" t="inlineStr">
        <is>
          <t>NO</t>
        </is>
      </c>
      <c r="D47" s="10" t="inlineStr">
        <is>
          <t>4° Año</t>
        </is>
      </c>
      <c r="E47" s="10">
        <f>IF(B47="SI", "REGULAR", "PENDIENTE")</f>
        <v/>
      </c>
      <c r="F47" s="10">
        <f>IF(C47="SI", "APROBADO", IF(B47="SI", "ADEUDA FINAL", "ADEUDA"))</f>
        <v/>
      </c>
      <c r="G47" s="11">
        <f>IF(C47="SI", "🟢 Aprobada", IF(B47="SI", "🟡 Regular", "🟣 Pendiente"))</f>
        <v/>
      </c>
    </row>
    <row r="48" ht="22" customHeight="1">
      <c r="A48" s="7" t="inlineStr">
        <is>
          <t>📌 5° AÑO</t>
        </is>
      </c>
    </row>
    <row r="49" ht="20" customHeight="1">
      <c r="A49" s="8" t="inlineStr">
        <is>
          <t>Enseñanza de la ciencia política 2</t>
        </is>
      </c>
      <c r="B49" s="9" t="inlineStr">
        <is>
          <t>NO</t>
        </is>
      </c>
      <c r="C49" s="9" t="inlineStr">
        <is>
          <t>NO</t>
        </is>
      </c>
      <c r="D49" s="10" t="inlineStr">
        <is>
          <t>5° Año</t>
        </is>
      </c>
      <c r="E49" s="10">
        <f>IF(B49="SI", "REGULAR", "PENDIENTE")</f>
        <v/>
      </c>
      <c r="F49" s="10">
        <f>IF(C49="SI", "APROBADO", IF(B49="SI", "ADEUDA FINAL", "ADEUDA"))</f>
        <v/>
      </c>
      <c r="G49" s="11">
        <f>IF(C49="SI", "🟢 Aprobada", IF(B49="SI", "🟡 Regular", "🟣 Pendiente"))</f>
        <v/>
      </c>
    </row>
    <row r="50" ht="20" customHeight="1">
      <c r="A50" s="8" t="inlineStr">
        <is>
          <t>Residencia pedagógica</t>
        </is>
      </c>
      <c r="B50" s="9" t="inlineStr">
        <is>
          <t>NO</t>
        </is>
      </c>
      <c r="C50" s="9" t="inlineStr">
        <is>
          <t>NO</t>
        </is>
      </c>
      <c r="D50" s="10" t="inlineStr">
        <is>
          <t>5° Año</t>
        </is>
      </c>
      <c r="E50" s="10">
        <f>IF(B50="SI", "REGULAR", "PENDIENTE")</f>
        <v/>
      </c>
      <c r="F50" s="10">
        <f>IF(C50="SI", "APROBADO", IF(B50="SI", "ADEUDA FINAL", "ADEUDA"))</f>
        <v/>
      </c>
      <c r="G50" s="11">
        <f>IF(C50="SI", "🟢 Aprobada", IF(B50="SI", "🟡 Regular", "🟣 Pendiente"))</f>
        <v/>
      </c>
    </row>
    <row r="51" ht="20" customHeight="1">
      <c r="A51" s="8" t="inlineStr">
        <is>
          <t>Medios de comunicación y opinión publica</t>
        </is>
      </c>
      <c r="B51" s="9" t="inlineStr">
        <is>
          <t>NO</t>
        </is>
      </c>
      <c r="C51" s="9" t="inlineStr">
        <is>
          <t>NO</t>
        </is>
      </c>
      <c r="D51" s="10" t="inlineStr">
        <is>
          <t>5° Año</t>
        </is>
      </c>
      <c r="E51" s="10">
        <f>IF(B51="SI", "REGULAR", "PENDIENTE")</f>
        <v/>
      </c>
      <c r="F51" s="10">
        <f>IF(C51="SI", "APROBADO", IF(B51="SI", "ADEUDA FINAL", "ADEUDA"))</f>
        <v/>
      </c>
      <c r="G51" s="11">
        <f>IF(C51="SI", "🟢 Aprobada", IF(B51="SI", "🟡 Regular", "🟣 Pendiente"))</f>
        <v/>
      </c>
    </row>
    <row r="52" ht="20" customHeight="1">
      <c r="A52" s="8" t="inlineStr">
        <is>
          <t>Const. políticas de los pueblos originarios de America Latina y en especial Argentina</t>
        </is>
      </c>
      <c r="B52" s="9" t="inlineStr">
        <is>
          <t>NO</t>
        </is>
      </c>
      <c r="C52" s="9" t="inlineStr">
        <is>
          <t>NO</t>
        </is>
      </c>
      <c r="D52" s="10" t="inlineStr">
        <is>
          <t>5° Año</t>
        </is>
      </c>
      <c r="E52" s="10">
        <f>IF(B52="SI", "REGULAR", "PENDIENTE")</f>
        <v/>
      </c>
      <c r="F52" s="10">
        <f>IF(C52="SI", "APROBADO", IF(B52="SI", "ADEUDA FINAL", "ADEUDA"))</f>
        <v/>
      </c>
      <c r="G52" s="11">
        <f>IF(C52="SI", "🟢 Aprobada", IF(B52="SI", "🟡 Regular", "🟣 Pendiente"))</f>
        <v/>
      </c>
    </row>
    <row r="53" ht="20" customHeight="1">
      <c r="A53" s="8" t="inlineStr">
        <is>
          <t>Análisis de las políticas publicas</t>
        </is>
      </c>
      <c r="B53" s="9" t="inlineStr">
        <is>
          <t>NO</t>
        </is>
      </c>
      <c r="C53" s="9" t="inlineStr">
        <is>
          <t>NO</t>
        </is>
      </c>
      <c r="D53" s="10" t="inlineStr">
        <is>
          <t>5° Año</t>
        </is>
      </c>
      <c r="E53" s="10">
        <f>IF(B53="SI", "REGULAR", "PENDIENTE")</f>
        <v/>
      </c>
      <c r="F53" s="10">
        <f>IF(C53="SI", "APROBADO", IF(B53="SI", "ADEUDA FINAL", "ADEUDA"))</f>
        <v/>
      </c>
      <c r="G53" s="11">
        <f>IF(C53="SI", "🟢 Aprobada", IF(B53="SI", "🟡 Regular", "🟣 Pendiente"))</f>
        <v/>
      </c>
    </row>
  </sheetData>
  <mergeCells count="15">
    <mergeCell ref="I12:J12"/>
    <mergeCell ref="A1:G1"/>
    <mergeCell ref="A18:G18"/>
    <mergeCell ref="I15:J15"/>
    <mergeCell ref="I10:J10"/>
    <mergeCell ref="I1:K1"/>
    <mergeCell ref="A48:G48"/>
    <mergeCell ref="I11:J11"/>
    <mergeCell ref="A2:G2"/>
    <mergeCell ref="A29:G29"/>
    <mergeCell ref="I13:J13"/>
    <mergeCell ref="I14:J14"/>
    <mergeCell ref="A41:G41"/>
    <mergeCell ref="I9:J9"/>
    <mergeCell ref="A5:G5"/>
  </mergeCells>
  <dataValidations count="1">
    <dataValidation sqref="B6 B7 B8 B9 B10 B11 B12 B13 B14 B15 B16 B17 B19 B20 B21 B22 B23 B24 B25 B26 B27 B28 B30 B31 B32 B33 B34 B35 B36 B37 B38 B39 B40 B42 B43 B44 B45 B46 B47 B49 B50 B51 B52 B53 C6 C7 C8 C9 C10 C11 C12 C13 C14 C15 C16 C17 C19 C20 C21 C22 C23 C24 C25 C26 C27 C28 C30 C31 C32 C33 C34 C35 C36 C37 C38 C39 C40 C42 C43 C44 C45 C46 C47 C49 C50 C51 C52 C53"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2026-08-31T01:47:25Z</dcterms:created>
  <dcterms:modified xmlns:dcterms="http://purl.org/dc/terms/" xmlns:xsi="http://www.w3.org/2001/XMLSchema-instance" xsi:type="dcterms:W3CDTF">2026-08-31T01:47:25Z</dcterms:modified>
</cp:coreProperties>
</file>