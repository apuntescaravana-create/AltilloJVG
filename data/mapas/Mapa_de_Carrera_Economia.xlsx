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a de Carrera"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Arial"/>
      <b val="1"/>
      <color rgb="00FFFFFF"/>
      <sz val="14"/>
    </font>
    <font>
      <name val="Arial"/>
      <i val="1"/>
      <color rgb="00BAE6FD"/>
      <sz val="10"/>
    </font>
    <font>
      <name val="Arial"/>
      <b val="1"/>
      <color rgb="00FFFFFF"/>
      <sz val="10"/>
    </font>
    <font>
      <name val="Arial"/>
      <b val="1"/>
      <color rgb="00FFFFFF"/>
      <sz val="11"/>
    </font>
    <font>
      <name val="Arial"/>
      <sz val="10"/>
    </font>
    <font>
      <name val="Arial"/>
      <b val="1"/>
      <sz val="10"/>
    </font>
    <font>
      <name val="Arial"/>
      <b val="1"/>
      <color rgb="000B2545"/>
      <sz val="11"/>
    </font>
    <font>
      <name val="Arial"/>
      <i val="1"/>
      <sz val="8.5"/>
    </font>
  </fonts>
  <fills count="9">
    <fill>
      <patternFill/>
    </fill>
    <fill>
      <patternFill patternType="gray125"/>
    </fill>
    <fill>
      <patternFill patternType="solid">
        <fgColor rgb="000B2545"/>
        <bgColor rgb="000B2545"/>
      </patternFill>
    </fill>
    <fill>
      <patternFill patternType="solid">
        <fgColor rgb="000284C7"/>
        <bgColor rgb="000284C7"/>
      </patternFill>
    </fill>
    <fill>
      <patternFill patternType="solid">
        <fgColor rgb="00134074"/>
        <bgColor rgb="00134074"/>
      </patternFill>
    </fill>
    <fill>
      <patternFill patternType="solid">
        <fgColor rgb="00F0F9FF"/>
        <bgColor rgb="00F0F9FF"/>
      </patternFill>
    </fill>
    <fill>
      <patternFill patternType="solid">
        <fgColor rgb="00F8FAFC"/>
        <bgColor rgb="00F8FAFC"/>
      </patternFill>
    </fill>
    <fill>
      <patternFill patternType="solid">
        <fgColor rgb="00DCFCE7"/>
        <bgColor rgb="00DCFCE7"/>
      </patternFill>
    </fill>
    <fill>
      <patternFill patternType="solid">
        <fgColor rgb="00D99B26"/>
        <bgColor rgb="00D99B26"/>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xf>
    <xf numFmtId="0" fontId="4" fillId="2" borderId="0" applyAlignment="1" pivotButton="0" quotePrefix="0" xfId="0">
      <alignment horizontal="center" vertical="center"/>
    </xf>
    <xf numFmtId="0" fontId="2" fillId="2" borderId="0" applyAlignment="1" pivotButton="0" quotePrefix="0" xfId="0">
      <alignment horizontal="center" vertical="center"/>
    </xf>
    <xf numFmtId="0" fontId="6" fillId="6" borderId="1" pivotButton="0" quotePrefix="0" xfId="0"/>
    <xf numFmtId="0" fontId="7" fillId="5" borderId="1" applyAlignment="1" pivotButton="0" quotePrefix="0" xfId="0">
      <alignment horizontal="center" vertical="center"/>
    </xf>
    <xf numFmtId="0" fontId="3" fillId="3" borderId="1" applyAlignment="1" pivotButton="0" quotePrefix="0" xfId="0">
      <alignment horizontal="center" vertical="center" wrapText="1"/>
    </xf>
    <xf numFmtId="0" fontId="4" fillId="4" borderId="0" applyAlignment="1" pivotButton="0" quotePrefix="0" xfId="0">
      <alignment horizontal="left" vertical="center" indent="1"/>
    </xf>
    <xf numFmtId="0" fontId="5" fillId="0" borderId="1" applyAlignment="1" pivotButton="0" quotePrefix="0" xfId="0">
      <alignment horizontal="left" vertical="center" indent="1"/>
    </xf>
    <xf numFmtId="0" fontId="6" fillId="5" borderId="1" applyAlignment="1" pivotButton="0" quotePrefix="0" xfId="0">
      <alignment horizontal="center" vertical="center"/>
    </xf>
    <xf numFmtId="0" fontId="5" fillId="0" borderId="1" applyAlignment="1" pivotButton="0" quotePrefix="0" xfId="0">
      <alignment horizontal="center" vertical="center"/>
    </xf>
    <xf numFmtId="0" fontId="6" fillId="0" borderId="1" applyAlignment="1" pivotButton="0" quotePrefix="0" xfId="0">
      <alignment horizontal="center" vertical="center"/>
    </xf>
    <xf numFmtId="164" fontId="7" fillId="7" borderId="1" applyAlignment="1" pivotButton="0" quotePrefix="0" xfId="0">
      <alignment horizontal="center" vertical="center"/>
    </xf>
    <xf numFmtId="0" fontId="3" fillId="8" borderId="0" applyAlignment="1" pivotButton="0" quotePrefix="0" xfId="0">
      <alignment horizontal="center" vertical="center"/>
    </xf>
    <xf numFmtId="0" fontId="8"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9"/>
  <sheetViews>
    <sheetView workbookViewId="0">
      <selection activeCell="A1" sqref="A1"/>
    </sheetView>
  </sheetViews>
  <sheetFormatPr baseColWidth="8" defaultRowHeight="15"/>
  <cols>
    <col width="54" customWidth="1" min="1" max="1"/>
    <col width="16" customWidth="1" min="2" max="2"/>
    <col width="16" customWidth="1" min="3" max="3"/>
    <col width="24" customWidth="1" min="4" max="4"/>
    <col width="20" customWidth="1" min="5" max="5"/>
    <col width="20" customWidth="1" min="6" max="6"/>
    <col width="18" customWidth="1" min="7" max="7"/>
    <col width="4" customWidth="1" min="8" max="8"/>
    <col width="30" customWidth="1" min="9" max="9"/>
    <col width="14" customWidth="1" min="10" max="10"/>
    <col width="4" customWidth="1" min="11" max="11"/>
  </cols>
  <sheetData>
    <row r="1" ht="32" customHeight="1">
      <c r="A1" s="1" t="inlineStr">
        <is>
          <t>MAPA DE CARRERA | PROFESORADO DE ECONOMÍA</t>
        </is>
      </c>
      <c r="I1" s="2" t="inlineStr">
        <is>
          <t>CONTROL DE TRAYECTORIA</t>
        </is>
      </c>
    </row>
    <row r="2" ht="22" customHeight="1">
      <c r="A2" s="3" t="inlineStr">
        <is>
          <t>La Caravana + Estudiantes Independientes | Altillo JVG - ISP Joaquín V. González</t>
        </is>
      </c>
      <c r="I2" s="4" t="inlineStr">
        <is>
          <t>Total de Materias del Plan</t>
        </is>
      </c>
      <c r="J2" s="5" t="n">
        <v>40</v>
      </c>
    </row>
    <row r="3" ht="22" customHeight="1">
      <c r="I3" s="4" t="inlineStr">
        <is>
          <t>Materias con Cursada Regular</t>
        </is>
      </c>
      <c r="J3" s="5">
        <f>COUNTIF(B6:B49, "SI")</f>
        <v/>
      </c>
    </row>
    <row r="4" ht="22" customHeight="1">
      <c r="A4" s="6" t="inlineStr">
        <is>
          <t>Materia / Asignatura Oficial</t>
        </is>
      </c>
      <c r="B4" s="6" t="inlineStr">
        <is>
          <t>Cursada Regular</t>
        </is>
      </c>
      <c r="C4" s="6" t="inlineStr">
        <is>
          <t>Final Aprobado</t>
        </is>
      </c>
      <c r="D4" s="6" t="inlineStr">
        <is>
          <t>Año / Tramo</t>
        </is>
      </c>
      <c r="E4" s="6" t="inlineStr">
        <is>
          <t>Condición Cursada</t>
        </is>
      </c>
      <c r="F4" s="6" t="inlineStr">
        <is>
          <t>Condición Final</t>
        </is>
      </c>
      <c r="G4" s="6" t="inlineStr">
        <is>
          <t>Estado General</t>
        </is>
      </c>
      <c r="I4" s="4" t="inlineStr">
        <is>
          <t>Finales / Materias Aprobadas</t>
        </is>
      </c>
      <c r="J4" s="5">
        <f>COUNTIF(C6:C49, "SI")</f>
        <v/>
      </c>
    </row>
    <row r="5" ht="22" customHeight="1">
      <c r="A5" s="7" t="inlineStr">
        <is>
          <t>📌 1° AÑO</t>
        </is>
      </c>
      <c r="I5" s="4" t="inlineStr">
        <is>
          <t>Finales Adeudados</t>
        </is>
      </c>
      <c r="J5" s="5">
        <f>COUNTIF(F6:F49, "ADEUDA FINAL")</f>
        <v/>
      </c>
    </row>
    <row r="6" ht="22" customHeight="1">
      <c r="A6" s="8" t="inlineStr">
        <is>
          <t>Sistenas de información contable</t>
        </is>
      </c>
      <c r="B6" s="9" t="inlineStr">
        <is>
          <t>NO</t>
        </is>
      </c>
      <c r="C6" s="9" t="inlineStr">
        <is>
          <t>NO</t>
        </is>
      </c>
      <c r="D6" s="10" t="inlineStr">
        <is>
          <t>1° Año</t>
        </is>
      </c>
      <c r="E6" s="10">
        <f>IF(B6="SI", "REGULAR", "PENDIENTE")</f>
        <v/>
      </c>
      <c r="F6" s="10">
        <f>IF(C6="SI", "APROBADO", IF(B6="SI", "ADEUDA FINAL", "ADEUDA"))</f>
        <v/>
      </c>
      <c r="G6" s="11">
        <f>IF(C6="SI", "🟢 Aprobada", IF(B6="SI", "🟡 Regular", "🟣 Pendiente"))</f>
        <v/>
      </c>
      <c r="I6" s="4" t="inlineStr">
        <is>
          <t>% Cursadas Completadas</t>
        </is>
      </c>
      <c r="J6" s="12">
        <f>COUNTIF(B6:B49, "SI")/40</f>
        <v/>
      </c>
    </row>
    <row r="7" ht="22" customHeight="1">
      <c r="A7" s="8" t="inlineStr">
        <is>
          <t>Analisis matemático</t>
        </is>
      </c>
      <c r="B7" s="9" t="inlineStr">
        <is>
          <t>NO</t>
        </is>
      </c>
      <c r="C7" s="9" t="inlineStr">
        <is>
          <t>NO</t>
        </is>
      </c>
      <c r="D7" s="10" t="inlineStr">
        <is>
          <t>1° Año</t>
        </is>
      </c>
      <c r="E7" s="10">
        <f>IF(B7="SI", "REGULAR", "PENDIENTE")</f>
        <v/>
      </c>
      <c r="F7" s="10">
        <f>IF(C7="SI", "APROBADO", IF(B7="SI", "ADEUDA FINAL", "ADEUDA"))</f>
        <v/>
      </c>
      <c r="G7" s="11">
        <f>IF(C7="SI", "🟢 Aprobada", IF(B7="SI", "🟡 Regular", "🟣 Pendiente"))</f>
        <v/>
      </c>
      <c r="I7" s="4" t="inlineStr">
        <is>
          <t>% Carrera Aprobada (Finales)</t>
        </is>
      </c>
      <c r="J7" s="12">
        <f>COUNTIF(C6:C49, "SI")/40</f>
        <v/>
      </c>
    </row>
    <row r="8" ht="20" customHeight="1">
      <c r="A8" s="8" t="inlineStr">
        <is>
          <t>Derecho publico</t>
        </is>
      </c>
      <c r="B8" s="9" t="inlineStr">
        <is>
          <t>NO</t>
        </is>
      </c>
      <c r="C8" s="9" t="inlineStr">
        <is>
          <t>NO</t>
        </is>
      </c>
      <c r="D8" s="10" t="inlineStr">
        <is>
          <t>1° Año</t>
        </is>
      </c>
      <c r="E8" s="10">
        <f>IF(B8="SI", "REGULAR", "PENDIENTE")</f>
        <v/>
      </c>
      <c r="F8" s="10">
        <f>IF(C8="SI", "APROBADO", IF(B8="SI", "ADEUDA FINAL", "ADEUDA"))</f>
        <v/>
      </c>
      <c r="G8" s="11">
        <f>IF(C8="SI", "🟢 Aprobada", IF(B8="SI", "🟡 Regular", "🟣 Pendiente"))</f>
        <v/>
      </c>
    </row>
    <row r="9" ht="20" customHeight="1">
      <c r="A9" s="8" t="inlineStr">
        <is>
          <t>Introduccion a la economía</t>
        </is>
      </c>
      <c r="B9" s="9" t="inlineStr">
        <is>
          <t>NO</t>
        </is>
      </c>
      <c r="C9" s="9" t="inlineStr">
        <is>
          <t>NO</t>
        </is>
      </c>
      <c r="D9" s="10" t="inlineStr">
        <is>
          <t>1° Año</t>
        </is>
      </c>
      <c r="E9" s="10">
        <f>IF(B9="SI", "REGULAR", "PENDIENTE")</f>
        <v/>
      </c>
      <c r="F9" s="10">
        <f>IF(C9="SI", "APROBADO", IF(B9="SI", "ADEUDA FINAL", "ADEUDA"))</f>
        <v/>
      </c>
      <c r="G9" s="11">
        <f>IF(C9="SI", "🟢 Aprobada", IF(B9="SI", "🟡 Regular", "🟣 Pendiente"))</f>
        <v/>
      </c>
      <c r="I9" s="13" t="inlineStr">
        <is>
          <t>INSTRUCCIONES DE USO</t>
        </is>
      </c>
    </row>
    <row r="10" ht="20" customHeight="1">
      <c r="A10" s="8" t="inlineStr">
        <is>
          <t>Historia economica general y Argentina</t>
        </is>
      </c>
      <c r="B10" s="9" t="inlineStr">
        <is>
          <t>NO</t>
        </is>
      </c>
      <c r="C10" s="9" t="inlineStr">
        <is>
          <t>NO</t>
        </is>
      </c>
      <c r="D10" s="10" t="inlineStr">
        <is>
          <t>1° Año</t>
        </is>
      </c>
      <c r="E10" s="10">
        <f>IF(B10="SI", "REGULAR", "PENDIENTE")</f>
        <v/>
      </c>
      <c r="F10" s="10">
        <f>IF(C10="SI", "APROBADO", IF(B10="SI", "ADEUDA FINAL", "ADEUDA"))</f>
        <v/>
      </c>
      <c r="G10" s="11">
        <f>IF(C10="SI", "🟢 Aprobada", IF(B10="SI", "🟡 Regular", "🟣 Pendiente"))</f>
        <v/>
      </c>
      <c r="I10" s="14" t="inlineStr">
        <is>
          <t>1. Hace clic en la celda y elegi 'SI' o 'NO' desde el menu desplegable.</t>
        </is>
      </c>
    </row>
    <row r="11" ht="20" customHeight="1">
      <c r="A11" s="8" t="inlineStr">
        <is>
          <t>Lectura, Escritura y Oralidad I (LEO 1)</t>
        </is>
      </c>
      <c r="B11" s="9" t="inlineStr">
        <is>
          <t>NO</t>
        </is>
      </c>
      <c r="C11" s="9" t="inlineStr">
        <is>
          <t>NO</t>
        </is>
      </c>
      <c r="D11" s="10" t="inlineStr">
        <is>
          <t>1° Año</t>
        </is>
      </c>
      <c r="E11" s="10">
        <f>IF(B11="SI", "REGULAR", "PENDIENTE")</f>
        <v/>
      </c>
      <c r="F11" s="10">
        <f>IF(C11="SI", "APROBADO", IF(B11="SI", "ADEUDA FINAL", "ADEUDA"))</f>
        <v/>
      </c>
      <c r="G11" s="11">
        <f>IF(C11="SI", "🟢 Aprobada", IF(B11="SI", "🟡 Regular", "🟣 Pendiente"))</f>
        <v/>
      </c>
      <c r="I11" s="14" t="inlineStr">
        <is>
          <t>2. Columna B: Marca 'SI' si tenes la cursada regular aprobada.</t>
        </is>
      </c>
    </row>
    <row r="12" ht="20" customHeight="1">
      <c r="A12" s="8" t="inlineStr">
        <is>
          <t>Pedagogía</t>
        </is>
      </c>
      <c r="B12" s="9" t="inlineStr">
        <is>
          <t>NO</t>
        </is>
      </c>
      <c r="C12" s="9" t="inlineStr">
        <is>
          <t>NO</t>
        </is>
      </c>
      <c r="D12" s="10" t="inlineStr">
        <is>
          <t>1° Año</t>
        </is>
      </c>
      <c r="E12" s="10">
        <f>IF(B12="SI", "REGULAR", "PENDIENTE")</f>
        <v/>
      </c>
      <c r="F12" s="10">
        <f>IF(C12="SI", "APROBADO", IF(B12="SI", "ADEUDA FINAL", "ADEUDA"))</f>
        <v/>
      </c>
      <c r="G12" s="11">
        <f>IF(C12="SI", "🟢 Aprobada", IF(B12="SI", "🟡 Regular", "🟣 Pendiente"))</f>
        <v/>
      </c>
      <c r="I12" s="14" t="inlineStr">
        <is>
          <t>3. Columna C: Marca 'SI' si aprobaste el final o promocionaste.</t>
        </is>
      </c>
    </row>
    <row r="13" ht="20" customHeight="1">
      <c r="A13" s="8" t="inlineStr">
        <is>
          <t>Psicología Educacional</t>
        </is>
      </c>
      <c r="B13" s="9" t="inlineStr">
        <is>
          <t>NO</t>
        </is>
      </c>
      <c r="C13" s="9" t="inlineStr">
        <is>
          <t>NO</t>
        </is>
      </c>
      <c r="D13" s="10" t="inlineStr">
        <is>
          <t>1° Año</t>
        </is>
      </c>
      <c r="E13" s="10">
        <f>IF(B13="SI", "REGULAR", "PENDIENTE")</f>
        <v/>
      </c>
      <c r="F13" s="10">
        <f>IF(C13="SI", "APROBADO", IF(B13="SI", "ADEUDA FINAL", "ADEUDA"))</f>
        <v/>
      </c>
      <c r="G13" s="11">
        <f>IF(C13="SI", "🟢 Aprobada", IF(B13="SI", "🟡 Regular", "🟣 Pendiente"))</f>
        <v/>
      </c>
      <c r="I13" s="14" t="inlineStr">
        <is>
          <t>4. Las columnas E, F y G se actualizan automaticamente en tiempo real.</t>
        </is>
      </c>
    </row>
    <row r="14" ht="20" customHeight="1">
      <c r="A14" s="8" t="inlineStr">
        <is>
          <t>Sujetos de la enseñanza</t>
        </is>
      </c>
      <c r="B14" s="9" t="inlineStr">
        <is>
          <t>NO</t>
        </is>
      </c>
      <c r="C14" s="9" t="inlineStr">
        <is>
          <t>NO</t>
        </is>
      </c>
      <c r="D14" s="10" t="inlineStr">
        <is>
          <t>1° Año</t>
        </is>
      </c>
      <c r="E14" s="10">
        <f>IF(B14="SI", "REGULAR", "PENDIENTE")</f>
        <v/>
      </c>
      <c r="F14" s="10">
        <f>IF(C14="SI", "APROBADO", IF(B14="SI", "ADEUDA FINAL", "ADEUDA"))</f>
        <v/>
      </c>
      <c r="G14" s="11">
        <f>IF(C14="SI", "🟢 Aprobada", IF(B14="SI", "🟡 Regular", "🟣 Pendiente"))</f>
        <v/>
      </c>
      <c r="I14" s="14" t="inlineStr">
        <is>
          <t>5. El panel lateral calcula tu avance y porcentaje de carrera en vivo.</t>
        </is>
      </c>
    </row>
    <row r="15" ht="20" customHeight="1">
      <c r="A15" s="8" t="inlineStr">
        <is>
          <t>Trabajo de Campo I</t>
        </is>
      </c>
      <c r="B15" s="9" t="inlineStr">
        <is>
          <t>NO</t>
        </is>
      </c>
      <c r="C15" s="9" t="inlineStr">
        <is>
          <t>NO</t>
        </is>
      </c>
      <c r="D15" s="10" t="inlineStr">
        <is>
          <t>1° Año</t>
        </is>
      </c>
      <c r="E15" s="10">
        <f>IF(B15="SI", "REGULAR", "PENDIENTE")</f>
        <v/>
      </c>
      <c r="F15" s="10">
        <f>IF(C15="SI", "APROBADO", IF(B15="SI", "ADEUDA FINAL", "ADEUDA"))</f>
        <v/>
      </c>
      <c r="G15" s="11">
        <f>IF(C15="SI", "🟢 Aprobada", IF(B15="SI", "🟡 Regular", "🟣 Pendiente"))</f>
        <v/>
      </c>
      <c r="I15" s="14" t="inlineStr">
        <is>
          <t>6. Podes subir el archivo a tu Google Drive personal para editarlo online.</t>
        </is>
      </c>
    </row>
    <row r="16" ht="22" customHeight="1">
      <c r="A16" s="7" t="inlineStr">
        <is>
          <t>📌 2° AÑO</t>
        </is>
      </c>
    </row>
    <row r="17" ht="20" customHeight="1">
      <c r="A17" s="8" t="inlineStr">
        <is>
          <t>Principios de administración</t>
        </is>
      </c>
      <c r="B17" s="9" t="inlineStr">
        <is>
          <t>NO</t>
        </is>
      </c>
      <c r="C17" s="9" t="inlineStr">
        <is>
          <t>NO</t>
        </is>
      </c>
      <c r="D17" s="10" t="inlineStr">
        <is>
          <t>2° Año</t>
        </is>
      </c>
      <c r="E17" s="10">
        <f>IF(B17="SI", "REGULAR", "PENDIENTE")</f>
        <v/>
      </c>
      <c r="F17" s="10">
        <f>IF(C17="SI", "APROBADO", IF(B17="SI", "ADEUDA FINAL", "ADEUDA"))</f>
        <v/>
      </c>
      <c r="G17" s="11">
        <f>IF(C17="SI", "🟢 Aprobada", IF(B17="SI", "🟡 Regular", "🟣 Pendiente"))</f>
        <v/>
      </c>
    </row>
    <row r="18" ht="20" customHeight="1">
      <c r="A18" s="8" t="inlineStr">
        <is>
          <t>Estadistica</t>
        </is>
      </c>
      <c r="B18" s="9" t="inlineStr">
        <is>
          <t>NO</t>
        </is>
      </c>
      <c r="C18" s="9" t="inlineStr">
        <is>
          <t>NO</t>
        </is>
      </c>
      <c r="D18" s="10" t="inlineStr">
        <is>
          <t>2° Año</t>
        </is>
      </c>
      <c r="E18" s="10">
        <f>IF(B18="SI", "REGULAR", "PENDIENTE")</f>
        <v/>
      </c>
      <c r="F18" s="10">
        <f>IF(C18="SI", "APROBADO", IF(B18="SI", "ADEUDA FINAL", "ADEUDA"))</f>
        <v/>
      </c>
      <c r="G18" s="11">
        <f>IF(C18="SI", "🟢 Aprobada", IF(B18="SI", "🟡 Regular", "🟣 Pendiente"))</f>
        <v/>
      </c>
    </row>
    <row r="19" ht="20" customHeight="1">
      <c r="A19" s="8" t="inlineStr">
        <is>
          <t>Derecho civil y societario</t>
        </is>
      </c>
      <c r="B19" s="9" t="inlineStr">
        <is>
          <t>NO</t>
        </is>
      </c>
      <c r="C19" s="9" t="inlineStr">
        <is>
          <t>NO</t>
        </is>
      </c>
      <c r="D19" s="10" t="inlineStr">
        <is>
          <t>2° Año</t>
        </is>
      </c>
      <c r="E19" s="10">
        <f>IF(B19="SI", "REGULAR", "PENDIENTE")</f>
        <v/>
      </c>
      <c r="F19" s="10">
        <f>IF(C19="SI", "APROBADO", IF(B19="SI", "ADEUDA FINAL", "ADEUDA"))</f>
        <v/>
      </c>
      <c r="G19" s="11">
        <f>IF(C19="SI", "🟢 Aprobada", IF(B19="SI", "🟡 Regular", "🟣 Pendiente"))</f>
        <v/>
      </c>
    </row>
    <row r="20" ht="20" customHeight="1">
      <c r="A20" s="8" t="inlineStr">
        <is>
          <t>Didactica general</t>
        </is>
      </c>
      <c r="B20" s="9" t="inlineStr">
        <is>
          <t>NO</t>
        </is>
      </c>
      <c r="C20" s="9" t="inlineStr">
        <is>
          <t>NO</t>
        </is>
      </c>
      <c r="D20" s="10" t="inlineStr">
        <is>
          <t>2° Año</t>
        </is>
      </c>
      <c r="E20" s="10">
        <f>IF(B20="SI", "REGULAR", "PENDIENTE")</f>
        <v/>
      </c>
      <c r="F20" s="10">
        <f>IF(C20="SI", "APROBADO", IF(B20="SI", "ADEUDA FINAL", "ADEUDA"))</f>
        <v/>
      </c>
      <c r="G20" s="11">
        <f>IF(C20="SI", "🟢 Aprobada", IF(B20="SI", "🟡 Regular", "🟣 Pendiente"))</f>
        <v/>
      </c>
    </row>
    <row r="21" ht="20" customHeight="1">
      <c r="A21" s="8" t="inlineStr">
        <is>
          <t>Filosofía</t>
        </is>
      </c>
      <c r="B21" s="9" t="inlineStr">
        <is>
          <t>NO</t>
        </is>
      </c>
      <c r="C21" s="9" t="inlineStr">
        <is>
          <t>NO</t>
        </is>
      </c>
      <c r="D21" s="10" t="inlineStr">
        <is>
          <t>2° Año</t>
        </is>
      </c>
      <c r="E21" s="10">
        <f>IF(B21="SI", "REGULAR", "PENDIENTE")</f>
        <v/>
      </c>
      <c r="F21" s="10">
        <f>IF(C21="SI", "APROBADO", IF(B21="SI", "ADEUDA FINAL", "ADEUDA"))</f>
        <v/>
      </c>
      <c r="G21" s="11">
        <f>IF(C21="SI", "🟢 Aprobada", IF(B21="SI", "🟡 Regular", "🟣 Pendiente"))</f>
        <v/>
      </c>
    </row>
    <row r="22" ht="20" customHeight="1">
      <c r="A22" s="8" t="inlineStr">
        <is>
          <t>Geografia economica</t>
        </is>
      </c>
      <c r="B22" s="9" t="inlineStr">
        <is>
          <t>NO</t>
        </is>
      </c>
      <c r="C22" s="9" t="inlineStr">
        <is>
          <t>NO</t>
        </is>
      </c>
      <c r="D22" s="10" t="inlineStr">
        <is>
          <t>2° Año</t>
        </is>
      </c>
      <c r="E22" s="10">
        <f>IF(B22="SI", "REGULAR", "PENDIENTE")</f>
        <v/>
      </c>
      <c r="F22" s="10">
        <f>IF(C22="SI", "APROBADO", IF(B22="SI", "ADEUDA FINAL", "ADEUDA"))</f>
        <v/>
      </c>
      <c r="G22" s="11">
        <f>IF(C22="SI", "🟢 Aprobada", IF(B22="SI", "🟡 Regular", "🟣 Pendiente"))</f>
        <v/>
      </c>
    </row>
    <row r="23" ht="20" customHeight="1">
      <c r="A23" s="8" t="inlineStr">
        <is>
          <t>Lectura, Escritura y Oralidad II (LEO 2)</t>
        </is>
      </c>
      <c r="B23" s="9" t="inlineStr">
        <is>
          <t>NO</t>
        </is>
      </c>
      <c r="C23" s="9" t="inlineStr">
        <is>
          <t>NO</t>
        </is>
      </c>
      <c r="D23" s="10" t="inlineStr">
        <is>
          <t>2° Año</t>
        </is>
      </c>
      <c r="E23" s="10">
        <f>IF(B23="SI", "REGULAR", "PENDIENTE")</f>
        <v/>
      </c>
      <c r="F23" s="10">
        <f>IF(C23="SI", "APROBADO", IF(B23="SI", "ADEUDA FINAL", "ADEUDA"))</f>
        <v/>
      </c>
      <c r="G23" s="11">
        <f>IF(C23="SI", "🟢 Aprobada", IF(B23="SI", "🟡 Regular", "🟣 Pendiente"))</f>
        <v/>
      </c>
    </row>
    <row r="24" ht="20" customHeight="1">
      <c r="A24" s="8" t="inlineStr">
        <is>
          <t>Trabajo de Campo II</t>
        </is>
      </c>
      <c r="B24" s="9" t="inlineStr">
        <is>
          <t>NO</t>
        </is>
      </c>
      <c r="C24" s="9" t="inlineStr">
        <is>
          <t>NO</t>
        </is>
      </c>
      <c r="D24" s="10" t="inlineStr">
        <is>
          <t>2° Año</t>
        </is>
      </c>
      <c r="E24" s="10">
        <f>IF(B24="SI", "REGULAR", "PENDIENTE")</f>
        <v/>
      </c>
      <c r="F24" s="10">
        <f>IF(C24="SI", "APROBADO", IF(B24="SI", "ADEUDA FINAL", "ADEUDA"))</f>
        <v/>
      </c>
      <c r="G24" s="11">
        <f>IF(C24="SI", "🟢 Aprobada", IF(B24="SI", "🟡 Regular", "🟣 Pendiente"))</f>
        <v/>
      </c>
    </row>
    <row r="25" ht="22" customHeight="1">
      <c r="A25" s="7" t="inlineStr">
        <is>
          <t>📌 3° AÑO</t>
        </is>
      </c>
    </row>
    <row r="26" ht="20" customHeight="1">
      <c r="A26" s="8" t="inlineStr">
        <is>
          <t>Microeconomía</t>
        </is>
      </c>
      <c r="B26" s="9" t="inlineStr">
        <is>
          <t>NO</t>
        </is>
      </c>
      <c r="C26" s="9" t="inlineStr">
        <is>
          <t>NO</t>
        </is>
      </c>
      <c r="D26" s="10" t="inlineStr">
        <is>
          <t>3° Año</t>
        </is>
      </c>
      <c r="E26" s="10">
        <f>IF(B26="SI", "REGULAR", "PENDIENTE")</f>
        <v/>
      </c>
      <c r="F26" s="10">
        <f>IF(C26="SI", "APROBADO", IF(B26="SI", "ADEUDA FINAL", "ADEUDA"))</f>
        <v/>
      </c>
      <c r="G26" s="11">
        <f>IF(C26="SI", "🟢 Aprobada", IF(B26="SI", "🟡 Regular", "🟣 Pendiente"))</f>
        <v/>
      </c>
    </row>
    <row r="27" ht="20" customHeight="1">
      <c r="A27" s="8" t="inlineStr">
        <is>
          <t>Finanzas publicas</t>
        </is>
      </c>
      <c r="B27" s="9" t="inlineStr">
        <is>
          <t>NO</t>
        </is>
      </c>
      <c r="C27" s="9" t="inlineStr">
        <is>
          <t>NO</t>
        </is>
      </c>
      <c r="D27" s="10" t="inlineStr">
        <is>
          <t>3° Año</t>
        </is>
      </c>
      <c r="E27" s="10">
        <f>IF(B27="SI", "REGULAR", "PENDIENTE")</f>
        <v/>
      </c>
      <c r="F27" s="10">
        <f>IF(C27="SI", "APROBADO", IF(B27="SI", "ADEUDA FINAL", "ADEUDA"))</f>
        <v/>
      </c>
      <c r="G27" s="11">
        <f>IF(C27="SI", "🟢 Aprobada", IF(B27="SI", "🟡 Regular", "🟣 Pendiente"))</f>
        <v/>
      </c>
    </row>
    <row r="28" ht="20" customHeight="1">
      <c r="A28" s="8" t="inlineStr">
        <is>
          <t>Didactica especifica y construcción de la practica docente 1</t>
        </is>
      </c>
      <c r="B28" s="9" t="inlineStr">
        <is>
          <t>NO</t>
        </is>
      </c>
      <c r="C28" s="9" t="inlineStr">
        <is>
          <t>NO</t>
        </is>
      </c>
      <c r="D28" s="10" t="inlineStr">
        <is>
          <t>3° Año</t>
        </is>
      </c>
      <c r="E28" s="10">
        <f>IF(B28="SI", "REGULAR", "PENDIENTE")</f>
        <v/>
      </c>
      <c r="F28" s="10">
        <f>IF(C28="SI", "APROBADO", IF(B28="SI", "ADEUDA FINAL", "ADEUDA"))</f>
        <v/>
      </c>
      <c r="G28" s="11">
        <f>IF(C28="SI", "🟢 Aprobada", IF(B28="SI", "🟡 Regular", "🟣 Pendiente"))</f>
        <v/>
      </c>
    </row>
    <row r="29" ht="20" customHeight="1">
      <c r="A29" s="8" t="inlineStr">
        <is>
          <t>Historia del pensamiento economico</t>
        </is>
      </c>
      <c r="B29" s="9" t="inlineStr">
        <is>
          <t>NO</t>
        </is>
      </c>
      <c r="C29" s="9" t="inlineStr">
        <is>
          <t>NO</t>
        </is>
      </c>
      <c r="D29" s="10" t="inlineStr">
        <is>
          <t>3° Año</t>
        </is>
      </c>
      <c r="E29" s="10">
        <f>IF(B29="SI", "REGULAR", "PENDIENTE")</f>
        <v/>
      </c>
      <c r="F29" s="10">
        <f>IF(C29="SI", "APROBADO", IF(B29="SI", "ADEUDA FINAL", "ADEUDA"))</f>
        <v/>
      </c>
      <c r="G29" s="11">
        <f>IF(C29="SI", "🟢 Aprobada", IF(B29="SI", "🟡 Regular", "🟣 Pendiente"))</f>
        <v/>
      </c>
    </row>
    <row r="30" ht="20" customHeight="1">
      <c r="A30" s="8" t="inlineStr">
        <is>
          <t>Historia de la educación Argentina</t>
        </is>
      </c>
      <c r="B30" s="9" t="inlineStr">
        <is>
          <t>NO</t>
        </is>
      </c>
      <c r="C30" s="9" t="inlineStr">
        <is>
          <t>NO</t>
        </is>
      </c>
      <c r="D30" s="10" t="inlineStr">
        <is>
          <t>3° Año</t>
        </is>
      </c>
      <c r="E30" s="10">
        <f>IF(B30="SI", "REGULAR", "PENDIENTE")</f>
        <v/>
      </c>
      <c r="F30" s="10">
        <f>IF(C30="SI", "APROBADO", IF(B30="SI", "ADEUDA FINAL", "ADEUDA"))</f>
        <v/>
      </c>
      <c r="G30" s="11">
        <f>IF(C30="SI", "🟢 Aprobada", IF(B30="SI", "🟡 Regular", "🟣 Pendiente"))</f>
        <v/>
      </c>
    </row>
    <row r="31" ht="20" customHeight="1">
      <c r="A31" s="8" t="inlineStr">
        <is>
          <t>DDHH, sociedad y estado</t>
        </is>
      </c>
      <c r="B31" s="9" t="inlineStr">
        <is>
          <t>NO</t>
        </is>
      </c>
      <c r="C31" s="9" t="inlineStr">
        <is>
          <t>NO</t>
        </is>
      </c>
      <c r="D31" s="10" t="inlineStr">
        <is>
          <t>3° Año</t>
        </is>
      </c>
      <c r="E31" s="10">
        <f>IF(B31="SI", "REGULAR", "PENDIENTE")</f>
        <v/>
      </c>
      <c r="F31" s="10">
        <f>IF(C31="SI", "APROBADO", IF(B31="SI", "ADEUDA FINAL", "ADEUDA"))</f>
        <v/>
      </c>
      <c r="G31" s="11">
        <f>IF(C31="SI", "🟢 Aprobada", IF(B31="SI", "🟡 Regular", "🟣 Pendiente"))</f>
        <v/>
      </c>
    </row>
    <row r="32" ht="20" customHeight="1">
      <c r="A32" s="8" t="inlineStr">
        <is>
          <t>Sem/taller opt. Economias comparadas</t>
        </is>
      </c>
      <c r="B32" s="9" t="inlineStr">
        <is>
          <t>NO</t>
        </is>
      </c>
      <c r="C32" s="9" t="inlineStr">
        <is>
          <t>NO</t>
        </is>
      </c>
      <c r="D32" s="10" t="inlineStr">
        <is>
          <t>3° Año</t>
        </is>
      </c>
      <c r="E32" s="10">
        <f>IF(B32="SI", "REGULAR", "PENDIENTE")</f>
        <v/>
      </c>
      <c r="F32" s="10">
        <f>IF(C32="SI", "APROBADO", IF(B32="SI", "ADEUDA FINAL", "ADEUDA"))</f>
        <v/>
      </c>
      <c r="G32" s="11">
        <f>IF(C32="SI", "🟢 Aprobada", IF(B32="SI", "🟡 Regular", "🟣 Pendiente"))</f>
        <v/>
      </c>
    </row>
    <row r="33" ht="20" customHeight="1">
      <c r="A33" s="8" t="inlineStr">
        <is>
          <t>Sem/taller opt. Politica economia</t>
        </is>
      </c>
      <c r="B33" s="9" t="inlineStr">
        <is>
          <t>NO</t>
        </is>
      </c>
      <c r="C33" s="9" t="inlineStr">
        <is>
          <t>NO</t>
        </is>
      </c>
      <c r="D33" s="10" t="inlineStr">
        <is>
          <t>3° Año</t>
        </is>
      </c>
      <c r="E33" s="10">
        <f>IF(B33="SI", "REGULAR", "PENDIENTE")</f>
        <v/>
      </c>
      <c r="F33" s="10">
        <f>IF(C33="SI", "APROBADO", IF(B33="SI", "ADEUDA FINAL", "ADEUDA"))</f>
        <v/>
      </c>
      <c r="G33" s="11">
        <f>IF(C33="SI", "🟢 Aprobada", IF(B33="SI", "🟡 Regular", "🟣 Pendiente"))</f>
        <v/>
      </c>
    </row>
    <row r="34" ht="22" customHeight="1">
      <c r="A34" s="7" t="inlineStr">
        <is>
          <t>📌 4° AÑO</t>
        </is>
      </c>
    </row>
    <row r="35" ht="20" customHeight="1">
      <c r="A35" s="8" t="inlineStr">
        <is>
          <t>Macroeconomia</t>
        </is>
      </c>
      <c r="B35" s="9" t="inlineStr">
        <is>
          <t>NO</t>
        </is>
      </c>
      <c r="C35" s="9" t="inlineStr">
        <is>
          <t>NO</t>
        </is>
      </c>
      <c r="D35" s="10" t="inlineStr">
        <is>
          <t>4° Año</t>
        </is>
      </c>
      <c r="E35" s="10">
        <f>IF(B35="SI", "REGULAR", "PENDIENTE")</f>
        <v/>
      </c>
      <c r="F35" s="10">
        <f>IF(C35="SI", "APROBADO", IF(B35="SI", "ADEUDA FINAL", "ADEUDA"))</f>
        <v/>
      </c>
      <c r="G35" s="11">
        <f>IF(C35="SI", "🟢 Aprobada", IF(B35="SI", "🟡 Regular", "🟣 Pendiente"))</f>
        <v/>
      </c>
    </row>
    <row r="36" ht="20" customHeight="1">
      <c r="A36" s="8" t="inlineStr">
        <is>
          <t>Crecimiento y desarrollo economico</t>
        </is>
      </c>
      <c r="B36" s="9" t="inlineStr">
        <is>
          <t>NO</t>
        </is>
      </c>
      <c r="C36" s="9" t="inlineStr">
        <is>
          <t>NO</t>
        </is>
      </c>
      <c r="D36" s="10" t="inlineStr">
        <is>
          <t>4° Año</t>
        </is>
      </c>
      <c r="E36" s="10">
        <f>IF(B36="SI", "REGULAR", "PENDIENTE")</f>
        <v/>
      </c>
      <c r="F36" s="10">
        <f>IF(C36="SI", "APROBADO", IF(B36="SI", "ADEUDA FINAL", "ADEUDA"))</f>
        <v/>
      </c>
      <c r="G36" s="11">
        <f>IF(C36="SI", "🟢 Aprobada", IF(B36="SI", "🟡 Regular", "🟣 Pendiente"))</f>
        <v/>
      </c>
    </row>
    <row r="37" ht="20" customHeight="1">
      <c r="A37" s="8" t="inlineStr">
        <is>
          <t>Dinero, credito y bancos</t>
        </is>
      </c>
      <c r="B37" s="9" t="inlineStr">
        <is>
          <t>NO</t>
        </is>
      </c>
      <c r="C37" s="9" t="inlineStr">
        <is>
          <t>NO</t>
        </is>
      </c>
      <c r="D37" s="10" t="inlineStr">
        <is>
          <t>4° Año</t>
        </is>
      </c>
      <c r="E37" s="10">
        <f>IF(B37="SI", "REGULAR", "PENDIENTE")</f>
        <v/>
      </c>
      <c r="F37" s="10">
        <f>IF(C37="SI", "APROBADO", IF(B37="SI", "ADEUDA FINAL", "ADEUDA"))</f>
        <v/>
      </c>
      <c r="G37" s="11">
        <f>IF(C37="SI", "🟢 Aprobada", IF(B37="SI", "🟡 Regular", "🟣 Pendiente"))</f>
        <v/>
      </c>
    </row>
    <row r="38" ht="20" customHeight="1">
      <c r="A38" s="8" t="inlineStr">
        <is>
          <t>Aplicativos informaticos</t>
        </is>
      </c>
      <c r="B38" s="9" t="inlineStr">
        <is>
          <t>NO</t>
        </is>
      </c>
      <c r="C38" s="9" t="inlineStr">
        <is>
          <t>NO</t>
        </is>
      </c>
      <c r="D38" s="10" t="inlineStr">
        <is>
          <t>4° Año</t>
        </is>
      </c>
      <c r="E38" s="10">
        <f>IF(B38="SI", "REGULAR", "PENDIENTE")</f>
        <v/>
      </c>
      <c r="F38" s="10">
        <f>IF(C38="SI", "APROBADO", IF(B38="SI", "ADEUDA FINAL", "ADEUDA"))</f>
        <v/>
      </c>
      <c r="G38" s="11">
        <f>IF(C38="SI", "🟢 Aprobada", IF(B38="SI", "🟡 Regular", "🟣 Pendiente"))</f>
        <v/>
      </c>
    </row>
    <row r="39" ht="20" customHeight="1">
      <c r="A39" s="8" t="inlineStr">
        <is>
          <t>Metodología de la investigación</t>
        </is>
      </c>
      <c r="B39" s="9" t="inlineStr">
        <is>
          <t>NO</t>
        </is>
      </c>
      <c r="C39" s="9" t="inlineStr">
        <is>
          <t>NO</t>
        </is>
      </c>
      <c r="D39" s="10" t="inlineStr">
        <is>
          <t>4° Año</t>
        </is>
      </c>
      <c r="E39" s="10">
        <f>IF(B39="SI", "REGULAR", "PENDIENTE")</f>
        <v/>
      </c>
      <c r="F39" s="10">
        <f>IF(C39="SI", "APROBADO", IF(B39="SI", "ADEUDA FINAL", "ADEUDA"))</f>
        <v/>
      </c>
      <c r="G39" s="11">
        <f>IF(C39="SI", "🟢 Aprobada", IF(B39="SI", "🟡 Regular", "🟣 Pendiente"))</f>
        <v/>
      </c>
    </row>
    <row r="40" ht="20" customHeight="1">
      <c r="A40" s="8" t="inlineStr">
        <is>
          <t>Taller de nuevas tecnologias</t>
        </is>
      </c>
      <c r="B40" s="9" t="inlineStr">
        <is>
          <t>NO</t>
        </is>
      </c>
      <c r="C40" s="9" t="inlineStr">
        <is>
          <t>NO</t>
        </is>
      </c>
      <c r="D40" s="10" t="inlineStr">
        <is>
          <t>4° Año</t>
        </is>
      </c>
      <c r="E40" s="10">
        <f>IF(B40="SI", "REGULAR", "PENDIENTE")</f>
        <v/>
      </c>
      <c r="F40" s="10">
        <f>IF(C40="SI", "APROBADO", IF(B40="SI", "ADEUDA FINAL", "ADEUDA"))</f>
        <v/>
      </c>
      <c r="G40" s="11">
        <f>IF(C40="SI", "🟢 Aprobada", IF(B40="SI", "🟡 Regular", "🟣 Pendiente"))</f>
        <v/>
      </c>
    </row>
    <row r="41" ht="20" customHeight="1">
      <c r="A41" s="8" t="inlineStr">
        <is>
          <t>Sistema y politica educativa</t>
        </is>
      </c>
      <c r="B41" s="9" t="inlineStr">
        <is>
          <t>NO</t>
        </is>
      </c>
      <c r="C41" s="9" t="inlineStr">
        <is>
          <t>NO</t>
        </is>
      </c>
      <c r="D41" s="10" t="inlineStr">
        <is>
          <t>4° Año</t>
        </is>
      </c>
      <c r="E41" s="10">
        <f>IF(B41="SI", "REGULAR", "PENDIENTE")</f>
        <v/>
      </c>
      <c r="F41" s="10">
        <f>IF(C41="SI", "APROBADO", IF(B41="SI", "ADEUDA FINAL", "ADEUDA"))</f>
        <v/>
      </c>
      <c r="G41" s="11">
        <f>IF(C41="SI", "🟢 Aprobada", IF(B41="SI", "🟡 Regular", "🟣 Pendiente"))</f>
        <v/>
      </c>
    </row>
    <row r="42" ht="20" customHeight="1">
      <c r="A42" s="8" t="inlineStr">
        <is>
          <t>Didactica de la educación superior</t>
        </is>
      </c>
      <c r="B42" s="9" t="inlineStr">
        <is>
          <t>NO</t>
        </is>
      </c>
      <c r="C42" s="9" t="inlineStr">
        <is>
          <t>NO</t>
        </is>
      </c>
      <c r="D42" s="10" t="inlineStr">
        <is>
          <t>4° Año</t>
        </is>
      </c>
      <c r="E42" s="10">
        <f>IF(B42="SI", "REGULAR", "PENDIENTE")</f>
        <v/>
      </c>
      <c r="F42" s="10">
        <f>IF(C42="SI", "APROBADO", IF(B42="SI", "ADEUDA FINAL", "ADEUDA"))</f>
        <v/>
      </c>
      <c r="G42" s="11">
        <f>IF(C42="SI", "🟢 Aprobada", IF(B42="SI", "🟡 Regular", "🟣 Pendiente"))</f>
        <v/>
      </c>
    </row>
    <row r="43" ht="20" customHeight="1">
      <c r="A43" s="8" t="inlineStr">
        <is>
          <t>Didactica de la educación a distancia</t>
        </is>
      </c>
      <c r="B43" s="9" t="inlineStr">
        <is>
          <t>NO</t>
        </is>
      </c>
      <c r="C43" s="9" t="inlineStr">
        <is>
          <t>NO</t>
        </is>
      </c>
      <c r="D43" s="10" t="inlineStr">
        <is>
          <t>4° Año</t>
        </is>
      </c>
      <c r="E43" s="10">
        <f>IF(B43="SI", "REGULAR", "PENDIENTE")</f>
        <v/>
      </c>
      <c r="F43" s="10">
        <f>IF(C43="SI", "APROBADO", IF(B43="SI", "ADEUDA FINAL", "ADEUDA"))</f>
        <v/>
      </c>
      <c r="G43" s="11">
        <f>IF(C43="SI", "🟢 Aprobada", IF(B43="SI", "🟡 Regular", "🟣 Pendiente"))</f>
        <v/>
      </c>
    </row>
    <row r="44" ht="22" customHeight="1">
      <c r="A44" s="7" t="inlineStr">
        <is>
          <t>📌 5° AÑO</t>
        </is>
      </c>
    </row>
    <row r="45" ht="20" customHeight="1">
      <c r="A45" s="8" t="inlineStr">
        <is>
          <t>Taller de idioma extranjero ingles</t>
        </is>
      </c>
      <c r="B45" s="9" t="inlineStr">
        <is>
          <t>NO</t>
        </is>
      </c>
      <c r="C45" s="9" t="inlineStr">
        <is>
          <t>NO</t>
        </is>
      </c>
      <c r="D45" s="10" t="inlineStr">
        <is>
          <t>5° Año</t>
        </is>
      </c>
      <c r="E45" s="10">
        <f>IF(B45="SI", "REGULAR", "PENDIENTE")</f>
        <v/>
      </c>
      <c r="F45" s="10">
        <f>IF(C45="SI", "APROBADO", IF(B45="SI", "ADEUDA FINAL", "ADEUDA"))</f>
        <v/>
      </c>
      <c r="G45" s="11">
        <f>IF(C45="SI", "🟢 Aprobada", IF(B45="SI", "🟡 Regular", "🟣 Pendiente"))</f>
        <v/>
      </c>
    </row>
    <row r="46" ht="20" customHeight="1">
      <c r="A46" s="8" t="inlineStr">
        <is>
          <t>Taller de informatica</t>
        </is>
      </c>
      <c r="B46" s="9" t="inlineStr">
        <is>
          <t>NO</t>
        </is>
      </c>
      <c r="C46" s="9" t="inlineStr">
        <is>
          <t>NO</t>
        </is>
      </c>
      <c r="D46" s="10" t="inlineStr">
        <is>
          <t>5° Año</t>
        </is>
      </c>
      <c r="E46" s="10">
        <f>IF(B46="SI", "REGULAR", "PENDIENTE")</f>
        <v/>
      </c>
      <c r="F46" s="10">
        <f>IF(C46="SI", "APROBADO", IF(B46="SI", "ADEUDA FINAL", "ADEUDA"))</f>
        <v/>
      </c>
      <c r="G46" s="11">
        <f>IF(C46="SI", "🟢 Aprobada", IF(B46="SI", "🟡 Regular", "🟣 Pendiente"))</f>
        <v/>
      </c>
    </row>
    <row r="47" ht="20" customHeight="1">
      <c r="A47" s="8" t="inlineStr">
        <is>
          <t>Esi</t>
        </is>
      </c>
      <c r="B47" s="9" t="inlineStr">
        <is>
          <t>NO</t>
        </is>
      </c>
      <c r="C47" s="9" t="inlineStr">
        <is>
          <t>NO</t>
        </is>
      </c>
      <c r="D47" s="10" t="inlineStr">
        <is>
          <t>5° Año</t>
        </is>
      </c>
      <c r="E47" s="10">
        <f>IF(B47="SI", "REGULAR", "PENDIENTE")</f>
        <v/>
      </c>
      <c r="F47" s="10">
        <f>IF(C47="SI", "APROBADO", IF(B47="SI", "ADEUDA FINAL", "ADEUDA"))</f>
        <v/>
      </c>
      <c r="G47" s="11">
        <f>IF(C47="SI", "🟢 Aprobada", IF(B47="SI", "🟡 Regular", "🟣 Pendiente"))</f>
        <v/>
      </c>
    </row>
    <row r="48" ht="20" customHeight="1">
      <c r="A48" s="8" t="inlineStr">
        <is>
          <t>Construcción de la practica docente 2</t>
        </is>
      </c>
      <c r="B48" s="9" t="inlineStr">
        <is>
          <t>NO</t>
        </is>
      </c>
      <c r="C48" s="9" t="inlineStr">
        <is>
          <t>NO</t>
        </is>
      </c>
      <c r="D48" s="10" t="inlineStr">
        <is>
          <t>5° Año</t>
        </is>
      </c>
      <c r="E48" s="10">
        <f>IF(B48="SI", "REGULAR", "PENDIENTE")</f>
        <v/>
      </c>
      <c r="F48" s="10">
        <f>IF(C48="SI", "APROBADO", IF(B48="SI", "ADEUDA FINAL", "ADEUDA"))</f>
        <v/>
      </c>
      <c r="G48" s="11">
        <f>IF(C48="SI", "🟢 Aprobada", IF(B48="SI", "🟡 Regular", "🟣 Pendiente"))</f>
        <v/>
      </c>
    </row>
    <row r="49" ht="20" customHeight="1">
      <c r="A49" s="8" t="inlineStr">
        <is>
          <t>Econometria</t>
        </is>
      </c>
      <c r="B49" s="9" t="inlineStr">
        <is>
          <t>NO</t>
        </is>
      </c>
      <c r="C49" s="9" t="inlineStr">
        <is>
          <t>NO</t>
        </is>
      </c>
      <c r="D49" s="10" t="inlineStr">
        <is>
          <t>5° Año</t>
        </is>
      </c>
      <c r="E49" s="10">
        <f>IF(B49="SI", "REGULAR", "PENDIENTE")</f>
        <v/>
      </c>
      <c r="F49" s="10">
        <f>IF(C49="SI", "APROBADO", IF(B49="SI", "ADEUDA FINAL", "ADEUDA"))</f>
        <v/>
      </c>
      <c r="G49" s="11">
        <f>IF(C49="SI", "🟢 Aprobada", IF(B49="SI", "🟡 Regular", "🟣 Pendiente"))</f>
        <v/>
      </c>
    </row>
  </sheetData>
  <mergeCells count="15">
    <mergeCell ref="I14:J14"/>
    <mergeCell ref="A44:G44"/>
    <mergeCell ref="I12:J12"/>
    <mergeCell ref="A1:G1"/>
    <mergeCell ref="I15:J15"/>
    <mergeCell ref="I10:J10"/>
    <mergeCell ref="A34:G34"/>
    <mergeCell ref="I1:K1"/>
    <mergeCell ref="I11:J11"/>
    <mergeCell ref="A16:G16"/>
    <mergeCell ref="A2:G2"/>
    <mergeCell ref="I13:J13"/>
    <mergeCell ref="A25:G25"/>
    <mergeCell ref="I9:J9"/>
    <mergeCell ref="A5:G5"/>
  </mergeCells>
  <dataValidations count="1">
    <dataValidation sqref="B6 B7 B8 B9 B10 B11 B12 B13 B14 B15 B17 B18 B19 B20 B21 B22 B23 B24 B26 B27 B28 B29 B30 B31 B32 B33 B35 B36 B37 B38 B39 B40 B41 B42 B43 B45 B46 B47 B48 B49 C6 C7 C8 C9 C10 C11 C12 C13 C14 C15 C17 C18 C19 C20 C21 C22 C23 C24 C26 C27 C28 C29 C30 C31 C32 C33 C35 C36 C37 C38 C39 C40 C41 C42 C43 C45 C46 C47 C48 C49" showDropDown="0" showInputMessage="0" showErrorMessage="0" allowBlank="1" errorTitle="Opción inválida" error="Por favor, elegí 'SI' o 'NO' de la lista desplegable." type="list">
      <formula1>"SI,NO"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2026-08-31T01:47:25Z</dcterms:created>
  <dcterms:modified xmlns:dcterms="http://purl.org/dc/terms/" xmlns:xsi="http://www.w3.org/2001/XMLSchema-instance" xsi:type="dcterms:W3CDTF">2026-08-31T01:47:25Z</dcterms:modified>
</cp:coreProperties>
</file>