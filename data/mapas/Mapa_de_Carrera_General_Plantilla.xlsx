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0B2545"/>
      <sz val="11"/>
    </font>
    <font>
      <name val="Arial"/>
      <i val="1"/>
      <sz val="8.5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0284C7"/>
        <bgColor rgb="000284C7"/>
      </patternFill>
    </fill>
    <fill>
      <patternFill patternType="solid">
        <fgColor rgb="00134074"/>
        <bgColor rgb="00134074"/>
      </patternFill>
    </fill>
    <fill>
      <patternFill patternType="solid">
        <fgColor rgb="00F0F9FF"/>
        <bgColor rgb="00F0F9FF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6" fillId="6" borderId="1" pivotButton="0" quotePrefix="0" xfId="0"/>
    <xf numFmtId="0" fontId="7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16" customWidth="1" min="3" max="3"/>
    <col width="22" customWidth="1" min="4" max="4"/>
    <col width="20" customWidth="1" min="5" max="5"/>
    <col width="20" customWidth="1" min="6" max="6"/>
    <col width="18" customWidth="1" min="7" max="7"/>
    <col width="4" customWidth="1" min="8" max="8"/>
    <col width="30" customWidth="1" min="9" max="9"/>
    <col width="14" customWidth="1" min="10" max="10"/>
    <col width="4" customWidth="1" min="11" max="11"/>
  </cols>
  <sheetData>
    <row r="1" ht="32" customHeight="1">
      <c r="A1" s="1" t="inlineStr">
        <is>
          <t>MAPA DE CARRERA | GENERAL (PLANTILLA MULTICARRERA)</t>
        </is>
      </c>
      <c r="I1" s="2" t="inlineStr">
        <is>
          <t>CONTROL DE TRAYECTORIA</t>
        </is>
      </c>
    </row>
    <row r="2" ht="22" customHeight="1">
      <c r="A2" s="3" t="inlineStr">
        <is>
          <t>La Caravana + Estudiantes Independientes | Altillo JVG - ISP Joaquín V. González</t>
        </is>
      </c>
      <c r="I2" s="4" t="inlineStr">
        <is>
          <t>Total de Materias del Plan</t>
        </is>
      </c>
      <c r="J2" s="5" t="n">
        <v>16</v>
      </c>
    </row>
    <row r="3" ht="22" customHeight="1">
      <c r="I3" s="4" t="inlineStr">
        <is>
          <t>Materias con Cursada Regular</t>
        </is>
      </c>
      <c r="J3" s="5">
        <f>COUNTIF(B6:B24, "SI")</f>
        <v/>
      </c>
    </row>
    <row r="4" ht="22" customHeight="1">
      <c r="A4" s="6" t="inlineStr">
        <is>
          <t>Materia / Asignatura Oficial</t>
        </is>
      </c>
      <c r="B4" s="6" t="inlineStr">
        <is>
          <t>Cursada Regular</t>
        </is>
      </c>
      <c r="C4" s="6" t="inlineStr">
        <is>
          <t>Final Aprobado</t>
        </is>
      </c>
      <c r="D4" s="6" t="inlineStr">
        <is>
          <t>Año / Tramo</t>
        </is>
      </c>
      <c r="E4" s="6" t="inlineStr">
        <is>
          <t>Condición Cursada</t>
        </is>
      </c>
      <c r="F4" s="6" t="inlineStr">
        <is>
          <t>Condición Final</t>
        </is>
      </c>
      <c r="G4" s="6" t="inlineStr">
        <is>
          <t>Estado General</t>
        </is>
      </c>
      <c r="I4" s="4" t="inlineStr">
        <is>
          <t>Finales / Materias Aprobadas</t>
        </is>
      </c>
      <c r="J4" s="5">
        <f>COUNTIF(C6:C24, "SI")</f>
        <v/>
      </c>
    </row>
    <row r="5" ht="22" customHeight="1">
      <c r="A5" s="7" t="inlineStr">
        <is>
          <t>📌 1° AÑO</t>
        </is>
      </c>
      <c r="I5" s="4" t="inlineStr">
        <is>
          <t>Finales Adeudados</t>
        </is>
      </c>
      <c r="J5" s="5">
        <f>COUNTIF(F6:F24, "ADEUDA FINAL")</f>
        <v/>
      </c>
    </row>
    <row r="6" ht="22" customHeight="1">
      <c r="A6" s="8" t="inlineStr">
        <is>
          <t>Pedagogía</t>
        </is>
      </c>
      <c r="B6" s="9" t="inlineStr">
        <is>
          <t>NO</t>
        </is>
      </c>
      <c r="C6" s="9" t="inlineStr">
        <is>
          <t>NO</t>
        </is>
      </c>
      <c r="D6" s="10" t="inlineStr">
        <is>
          <t>1° Año</t>
        </is>
      </c>
      <c r="E6" s="10">
        <f>IF(B6="SI", "REGULAR", "PENDIENTE")</f>
        <v/>
      </c>
      <c r="F6" s="10">
        <f>IF(C6="SI", "APROBADO", IF(B6="SI", "ADEUDA FINAL", "ADEUDA"))</f>
        <v/>
      </c>
      <c r="G6" s="11">
        <f>IF(C6="SI", "🟢 Aprobada", IF(B6="SI", "🟡 Regular", "🟣 Pendiente"))</f>
        <v/>
      </c>
      <c r="I6" s="4" t="inlineStr">
        <is>
          <t>% Cursadas Completadas</t>
        </is>
      </c>
      <c r="J6" s="12">
        <f>COUNTIF(B6:B24, "SI")/16</f>
        <v/>
      </c>
    </row>
    <row r="7" ht="22" customHeight="1">
      <c r="A7" s="8" t="inlineStr">
        <is>
          <t>Didáctica General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10">
        <f>IF(B7="SI", "REGULAR", "PENDIENTE")</f>
        <v/>
      </c>
      <c r="F7" s="10">
        <f>IF(C7="SI", "APROBADO", IF(B7="SI", "ADEUDA FINAL", "ADEUDA"))</f>
        <v/>
      </c>
      <c r="G7" s="11">
        <f>IF(C7="SI", "🟢 Aprobada", IF(B7="SI", "🟡 Regular", "🟣 Pendiente"))</f>
        <v/>
      </c>
      <c r="I7" s="4" t="inlineStr">
        <is>
          <t>% Carrera Aprobada (Finales)</t>
        </is>
      </c>
      <c r="J7" s="12">
        <f>COUNTIF(C6:C24, "SI")/16</f>
        <v/>
      </c>
    </row>
    <row r="8" ht="20" customHeight="1">
      <c r="A8" s="8" t="inlineStr">
        <is>
          <t>Lectura, Escritura y Oralidad I (LEO 1)</t>
        </is>
      </c>
      <c r="B8" s="9" t="inlineStr">
        <is>
          <t>NO</t>
        </is>
      </c>
      <c r="C8" s="9" t="inlineStr">
        <is>
          <t>NO</t>
        </is>
      </c>
      <c r="D8" s="10" t="inlineStr">
        <is>
          <t>1° Año</t>
        </is>
      </c>
      <c r="E8" s="10">
        <f>IF(B8="SI", "REGULAR", "PENDIENTE")</f>
        <v/>
      </c>
      <c r="F8" s="10">
        <f>IF(C8="SI", "APROBADO", IF(B8="SI", "ADEUDA FINAL", "ADEUDA"))</f>
        <v/>
      </c>
      <c r="G8" s="11">
        <f>IF(C8="SI", "🟢 Aprobada", IF(B8="SI", "🟡 Regular", "🟣 Pendiente"))</f>
        <v/>
      </c>
    </row>
    <row r="9" ht="20" customHeight="1">
      <c r="A9" s="8" t="inlineStr">
        <is>
          <t>Práctica Docente I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10">
        <f>IF(B9="SI", "REGULAR", "PENDIENTE")</f>
        <v/>
      </c>
      <c r="F9" s="10">
        <f>IF(C9="SI", "APROBADO", IF(B9="SI", "ADEUDA FINAL", "ADEUDA"))</f>
        <v/>
      </c>
      <c r="G9" s="11">
        <f>IF(C9="SI", "🟢 Aprobada", IF(B9="SI", "🟡 Regular", "🟣 Pendiente"))</f>
        <v/>
      </c>
      <c r="I9" s="13" t="inlineStr">
        <is>
          <t>INSTRUCCIONES DE USO</t>
        </is>
      </c>
    </row>
    <row r="10" ht="20" customHeight="1">
      <c r="A10" s="7" t="inlineStr">
        <is>
          <t>📌 2° AÑO</t>
        </is>
      </c>
      <c r="I10" s="14" t="inlineStr">
        <is>
          <t>1. Hace clic en la celda y elegi 'SI' o 'NO' desde el menu desplegable.</t>
        </is>
      </c>
    </row>
    <row r="11" ht="20" customHeight="1">
      <c r="A11" s="8" t="inlineStr">
        <is>
          <t>Psicología Educacional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10">
        <f>IF(B11="SI", "REGULAR", "PENDIENTE")</f>
        <v/>
      </c>
      <c r="F11" s="10">
        <f>IF(C11="SI", "APROBADO", IF(B11="SI", "ADEUDA FINAL", "ADEUDA"))</f>
        <v/>
      </c>
      <c r="G11" s="11">
        <f>IF(C11="SI", "🟢 Aprobada", IF(B11="SI", "🟡 Regular", "🟣 Pendiente"))</f>
        <v/>
      </c>
      <c r="I11" s="14" t="inlineStr">
        <is>
          <t>2. Columna B: Marca 'SI' si tenes la cursada regular aprobada.</t>
        </is>
      </c>
    </row>
    <row r="12" ht="20" customHeight="1">
      <c r="A12" s="8" t="inlineStr">
        <is>
          <t>Sociología de la Educación</t>
        </is>
      </c>
      <c r="B12" s="9" t="inlineStr">
        <is>
          <t>NO</t>
        </is>
      </c>
      <c r="C12" s="9" t="inlineStr">
        <is>
          <t>NO</t>
        </is>
      </c>
      <c r="D12" s="10" t="inlineStr">
        <is>
          <t>2° Año</t>
        </is>
      </c>
      <c r="E12" s="10">
        <f>IF(B12="SI", "REGULAR", "PENDIENTE")</f>
        <v/>
      </c>
      <c r="F12" s="10">
        <f>IF(C12="SI", "APROBADO", IF(B12="SI", "ADEUDA FINAL", "ADEUDA"))</f>
        <v/>
      </c>
      <c r="G12" s="11">
        <f>IF(C12="SI", "🟢 Aprobada", IF(B12="SI", "🟡 Regular", "🟣 Pendiente"))</f>
        <v/>
      </c>
      <c r="I12" s="14" t="inlineStr">
        <is>
          <t>3. Columna C: Marca 'SI' si aprobaste el final o promocionaste.</t>
        </is>
      </c>
    </row>
    <row r="13" ht="20" customHeight="1">
      <c r="A13" s="8" t="inlineStr">
        <is>
          <t>Sujetos de la Educación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10">
        <f>IF(B13="SI", "REGULAR", "PENDIENTE")</f>
        <v/>
      </c>
      <c r="F13" s="10">
        <f>IF(C13="SI", "APROBADO", IF(B13="SI", "ADEUDA FINAL", "ADEUDA"))</f>
        <v/>
      </c>
      <c r="G13" s="11">
        <f>IF(C13="SI", "🟢 Aprobada", IF(B13="SI", "🟡 Regular", "🟣 Pendiente"))</f>
        <v/>
      </c>
      <c r="I13" s="14" t="inlineStr">
        <is>
          <t>4. Las columnas E, F y G se actualizan automaticamente en tiempo real.</t>
        </is>
      </c>
    </row>
    <row r="14" ht="20" customHeight="1">
      <c r="A14" s="8" t="inlineStr">
        <is>
          <t>Práctica Docente II</t>
        </is>
      </c>
      <c r="B14" s="9" t="inlineStr">
        <is>
          <t>NO</t>
        </is>
      </c>
      <c r="C14" s="9" t="inlineStr">
        <is>
          <t>NO</t>
        </is>
      </c>
      <c r="D14" s="10" t="inlineStr">
        <is>
          <t>2° Año</t>
        </is>
      </c>
      <c r="E14" s="10">
        <f>IF(B14="SI", "REGULAR", "PENDIENTE")</f>
        <v/>
      </c>
      <c r="F14" s="10">
        <f>IF(C14="SI", "APROBADO", IF(B14="SI", "ADEUDA FINAL", "ADEUDA"))</f>
        <v/>
      </c>
      <c r="G14" s="11">
        <f>IF(C14="SI", "🟢 Aprobada", IF(B14="SI", "🟡 Regular", "🟣 Pendiente"))</f>
        <v/>
      </c>
      <c r="I14" s="14" t="inlineStr">
        <is>
          <t>5. El panel lateral calcula tu avance y porcentaje de carrera en vivo.</t>
        </is>
      </c>
    </row>
    <row r="15" ht="20" customHeight="1">
      <c r="A15" s="7" t="inlineStr">
        <is>
          <t>📌 3° AÑO</t>
        </is>
      </c>
      <c r="I15" s="14" t="inlineStr">
        <is>
          <t>6. Podes subir el archivo a tu Google Drive personal para editarlo online.</t>
        </is>
      </c>
    </row>
    <row r="16" ht="20" customHeight="1">
      <c r="A16" s="8" t="inlineStr">
        <is>
          <t>Historia Social de la Educación</t>
        </is>
      </c>
      <c r="B16" s="9" t="inlineStr">
        <is>
          <t>NO</t>
        </is>
      </c>
      <c r="C16" s="9" t="inlineStr">
        <is>
          <t>NO</t>
        </is>
      </c>
      <c r="D16" s="10" t="inlineStr">
        <is>
          <t>3° Año</t>
        </is>
      </c>
      <c r="E16" s="10">
        <f>IF(B16="SI", "REGULAR", "PENDIENTE")</f>
        <v/>
      </c>
      <c r="F16" s="10">
        <f>IF(C16="SI", "APROBADO", IF(B16="SI", "ADEUDA FINAL", "ADEUDA"))</f>
        <v/>
      </c>
      <c r="G16" s="11">
        <f>IF(C16="SI", "🟢 Aprobada", IF(B16="SI", "🟡 Regular", "🟣 Pendiente"))</f>
        <v/>
      </c>
    </row>
    <row r="17" ht="20" customHeight="1">
      <c r="A17" s="8" t="inlineStr">
        <is>
          <t>Residencia I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10">
        <f>IF(B17="SI", "REGULAR", "PENDIENTE")</f>
        <v/>
      </c>
      <c r="F17" s="10">
        <f>IF(C17="SI", "APROBADO", IF(B17="SI", "ADEUDA FINAL", "ADEUDA"))</f>
        <v/>
      </c>
      <c r="G17" s="11">
        <f>IF(C17="SI", "🟢 Aprobada", IF(B17="SI", "🟡 Regular", "🟣 Pendiente"))</f>
        <v/>
      </c>
    </row>
    <row r="18" ht="20" customHeight="1">
      <c r="A18" s="8" t="inlineStr">
        <is>
          <t>Espacio de Definición Institucional</t>
        </is>
      </c>
      <c r="B18" s="9" t="inlineStr">
        <is>
          <t>NO</t>
        </is>
      </c>
      <c r="C18" s="9" t="inlineStr">
        <is>
          <t>NO</t>
        </is>
      </c>
      <c r="D18" s="10" t="inlineStr">
        <is>
          <t>3° Año</t>
        </is>
      </c>
      <c r="E18" s="10">
        <f>IF(B18="SI", "REGULAR", "PENDIENTE")</f>
        <v/>
      </c>
      <c r="F18" s="10">
        <f>IF(C18="SI", "APROBADO", IF(B18="SI", "ADEUDA FINAL", "ADEUDA"))</f>
        <v/>
      </c>
      <c r="G18" s="11">
        <f>IF(C18="SI", "🟢 Aprobada", IF(B18="SI", "🟡 Regular", "🟣 Pendiente"))</f>
        <v/>
      </c>
    </row>
    <row r="19" ht="20" customHeight="1">
      <c r="A19" s="8" t="inlineStr">
        <is>
          <t>Práctica Docente III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3° Año</t>
        </is>
      </c>
      <c r="E19" s="10">
        <f>IF(B19="SI", "REGULAR", "PENDIENTE")</f>
        <v/>
      </c>
      <c r="F19" s="10">
        <f>IF(C19="SI", "APROBADO", IF(B19="SI", "ADEUDA FINAL", "ADEUDA"))</f>
        <v/>
      </c>
      <c r="G19" s="11">
        <f>IF(C19="SI", "🟢 Aprobada", IF(B19="SI", "🟡 Regular", "🟣 Pendiente"))</f>
        <v/>
      </c>
    </row>
    <row r="20" ht="22" customHeight="1">
      <c r="A20" s="7" t="inlineStr">
        <is>
          <t>📌 4° AÑO</t>
        </is>
      </c>
    </row>
    <row r="21" ht="20" customHeight="1">
      <c r="A21" s="8" t="inlineStr">
        <is>
          <t>Residencia II / Taller de Cierre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10">
        <f>IF(B21="SI", "REGULAR", "PENDIENTE")</f>
        <v/>
      </c>
      <c r="F21" s="10">
        <f>IF(C21="SI", "APROBADO", IF(B21="SI", "ADEUDA FINAL", "ADEUDA"))</f>
        <v/>
      </c>
      <c r="G21" s="11">
        <f>IF(C21="SI", "🟢 Aprobada", IF(B21="SI", "🟡 Regular", "🟣 Pendiente"))</f>
        <v/>
      </c>
    </row>
    <row r="22" ht="20" customHeight="1">
      <c r="A22" s="8" t="inlineStr">
        <is>
          <t>Ética y Trabajo Docente</t>
        </is>
      </c>
      <c r="B22" s="9" t="inlineStr">
        <is>
          <t>NO</t>
        </is>
      </c>
      <c r="C22" s="9" t="inlineStr">
        <is>
          <t>NO</t>
        </is>
      </c>
      <c r="D22" s="10" t="inlineStr">
        <is>
          <t>4° Año</t>
        </is>
      </c>
      <c r="E22" s="10">
        <f>IF(B22="SI", "REGULAR", "PENDIENTE")</f>
        <v/>
      </c>
      <c r="F22" s="10">
        <f>IF(C22="SI", "APROBADO", IF(B22="SI", "ADEUDA FINAL", "ADEUDA"))</f>
        <v/>
      </c>
      <c r="G22" s="11">
        <f>IF(C22="SI", "🟢 Aprobada", IF(B22="SI", "🟡 Regular", "🟣 Pendiente"))</f>
        <v/>
      </c>
    </row>
    <row r="23" ht="20" customHeight="1">
      <c r="A23" s="8" t="inlineStr">
        <is>
          <t>Investigación Educativa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4° Año</t>
        </is>
      </c>
      <c r="E23" s="10">
        <f>IF(B23="SI", "REGULAR", "PENDIENTE")</f>
        <v/>
      </c>
      <c r="F23" s="10">
        <f>IF(C23="SI", "APROBADO", IF(B23="SI", "ADEUDA FINAL", "ADEUDA"))</f>
        <v/>
      </c>
      <c r="G23" s="11">
        <f>IF(C23="SI", "🟢 Aprobada", IF(B23="SI", "🟡 Regular", "🟣 Pendiente"))</f>
        <v/>
      </c>
    </row>
    <row r="24" ht="20" customHeight="1">
      <c r="A24" s="8" t="inlineStr">
        <is>
          <t>Práctica Docente IV</t>
        </is>
      </c>
      <c r="B24" s="9" t="inlineStr">
        <is>
          <t>NO</t>
        </is>
      </c>
      <c r="C24" s="9" t="inlineStr">
        <is>
          <t>NO</t>
        </is>
      </c>
      <c r="D24" s="10" t="inlineStr">
        <is>
          <t>4° Año</t>
        </is>
      </c>
      <c r="E24" s="10">
        <f>IF(B24="SI", "REGULAR", "PENDIENTE")</f>
        <v/>
      </c>
      <c r="F24" s="10">
        <f>IF(C24="SI", "APROBADO", IF(B24="SI", "ADEUDA FINAL", "ADEUDA"))</f>
        <v/>
      </c>
      <c r="G24" s="11">
        <f>IF(C24="SI", "🟢 Aprobada", IF(B24="SI", "🟡 Regular", "🟣 Pendiente"))</f>
        <v/>
      </c>
    </row>
  </sheetData>
  <mergeCells count="14">
    <mergeCell ref="I12:J12"/>
    <mergeCell ref="A1:G1"/>
    <mergeCell ref="I15:J15"/>
    <mergeCell ref="I10:J10"/>
    <mergeCell ref="I1:K1"/>
    <mergeCell ref="I11:J11"/>
    <mergeCell ref="A20:G20"/>
    <mergeCell ref="A2:G2"/>
    <mergeCell ref="A15:G15"/>
    <mergeCell ref="I13:J13"/>
    <mergeCell ref="I14:J14"/>
    <mergeCell ref="I9:J9"/>
    <mergeCell ref="A10:G10"/>
    <mergeCell ref="A5:G5"/>
  </mergeCells>
  <dataValidations count="1">
    <dataValidation sqref="B6 B7 B8 B9 B11 B12 B13 B14 B16 B17 B18 B19 B21 B22 B23 B24 C6 C7 C8 C9 C11 C12 C13 C14 C16 C17 C18 C19 C21 C22 C23 C24" showDropDown="0" showInputMessage="0" showErrorMessage="0" allowBlank="1" errorTitle="Opción inválida" error="Por favor, elegí 'SI' o 'NO' de la lista desplegable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2026-08-31T00:38:51Z</dcterms:created>
  <dcterms:modified xmlns:dcterms="http://purl.org/dc/terms/" xmlns:xsi="http://www.w3.org/2001/XMLSchema-instance" xsi:type="dcterms:W3CDTF">2026-08-31T00:38:51Z</dcterms:modified>
</cp:coreProperties>
</file>