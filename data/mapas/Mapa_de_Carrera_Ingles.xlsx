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INGLÉS</t>
        </is>
      </c>
      <c r="I1" s="2" t="inlineStr">
        <is>
          <t>CONTROL DE TRAYECTORIA</t>
        </is>
      </c>
    </row>
    <row r="2" ht="22" customHeight="1">
      <c r="A2" s="3" t="inlineStr">
        <is>
          <t>La Caravana + Estudiantes Independientes | Altillo JVG - ISP Joaquín V. González</t>
        </is>
      </c>
      <c r="I2" s="4" t="inlineStr">
        <is>
          <t>Total de Materias del Plan</t>
        </is>
      </c>
      <c r="J2" s="5" t="n">
        <v>36</v>
      </c>
    </row>
    <row r="3" ht="22" customHeight="1">
      <c r="I3" s="4" t="inlineStr">
        <is>
          <t>Materias con Cursada Regular</t>
        </is>
      </c>
      <c r="J3" s="5">
        <f>COUNTIF(B6:B45,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COUNTIF(C6:C45, "SI")</f>
        <v/>
      </c>
    </row>
    <row r="5" ht="22" customHeight="1">
      <c r="A5" s="7" t="inlineStr">
        <is>
          <t>📌 1° AÑO</t>
        </is>
      </c>
      <c r="I5" s="4" t="inlineStr">
        <is>
          <t>Finales Adeudados</t>
        </is>
      </c>
      <c r="J5" s="5">
        <f>COUNTIF(F6:F45, "ADEUDA FINAL")</f>
        <v/>
      </c>
    </row>
    <row r="6" ht="22" customHeight="1">
      <c r="A6" s="8" t="inlineStr">
        <is>
          <t>Lengua Inglesa I</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COUNTIF(B6:B45, "SI")/36</f>
        <v/>
      </c>
    </row>
    <row r="7" ht="22" customHeight="1">
      <c r="A7" s="8" t="inlineStr">
        <is>
          <t>Fonética y Fonología Inglesa I</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COUNTIF(C6:C45, "SI")/36</f>
        <v/>
      </c>
    </row>
    <row r="8" ht="20" customHeight="1">
      <c r="A8" s="8" t="inlineStr">
        <is>
          <t>Gramática Inglesa I</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Dicción y Práctica de Laboratorio I</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Geografía y Cultura de los Pueblos de Habla Inglesa I</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Pedagogía</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Lectura, Escritura y Oralidad I (LEO 1)</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Construcción de la Práctica Docente en Nivel Inicial y Primario I</t>
        </is>
      </c>
      <c r="B13" s="9" t="inlineStr">
        <is>
          <t>NO</t>
        </is>
      </c>
      <c r="C13" s="9" t="inlineStr">
        <is>
          <t>NO</t>
        </is>
      </c>
      <c r="D13" s="10" t="inlineStr">
        <is>
          <t>1°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7" t="inlineStr">
        <is>
          <t>📌 2° AÑO</t>
        </is>
      </c>
      <c r="I14" s="14" t="inlineStr">
        <is>
          <t>5. El panel lateral calcula tu avance y porcentaje de carrera en vivo.</t>
        </is>
      </c>
    </row>
    <row r="15" ht="20" customHeight="1">
      <c r="A15" s="8" t="inlineStr">
        <is>
          <t>Lengua Inglesa II</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Fonética y Fonología Inglesa II</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Gramática Inglesa II</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Literatura en Lengua Inglesa I</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Geografía y Cultura de los Pueblos de Habla Inglesa II</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Didáctica General</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Psicología Educacional</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Sujetos de la Educación</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0" customHeight="1">
      <c r="A23" s="8" t="inlineStr">
        <is>
          <t>Construcción de la Práctica Docente en Nivel Inicial y Primario II y Residencia</t>
        </is>
      </c>
      <c r="B23" s="9" t="inlineStr">
        <is>
          <t>NO</t>
        </is>
      </c>
      <c r="C23" s="9" t="inlineStr">
        <is>
          <t>NO</t>
        </is>
      </c>
      <c r="D23" s="10" t="inlineStr">
        <is>
          <t>2° Año</t>
        </is>
      </c>
      <c r="E23" s="10">
        <f>IF(B23="SI", "REGULAR", "PENDIENTE")</f>
        <v/>
      </c>
      <c r="F23" s="10">
        <f>IF(C23="SI", "APROBADO", IF(B23="SI", "ADEUDA FINAL", "ADEUDA"))</f>
        <v/>
      </c>
      <c r="G23" s="11">
        <f>IF(C23="SI", "🟢 Aprobada", IF(B23="SI", "🟡 Regular", "🟣 Pendiente"))</f>
        <v/>
      </c>
    </row>
    <row r="24" ht="22" customHeight="1">
      <c r="A24" s="7" t="inlineStr">
        <is>
          <t>📌 3° AÑO</t>
        </is>
      </c>
    </row>
    <row r="25" ht="20" customHeight="1">
      <c r="A25" s="8" t="inlineStr">
        <is>
          <t>Lengua Inglesa III</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Fonología y Fonética Inglesa III</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Gramática Inglesa III</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Lingüística General y Aplicada</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Literatura en Lengua Inglesa II</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Historia de la Lengua Inglesa</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0" customHeight="1">
      <c r="A31" s="8" t="inlineStr">
        <is>
          <t>Didáctica Especial y Construcción de la Práctica Docente en Nivel Medio I</t>
        </is>
      </c>
      <c r="B31" s="9" t="inlineStr">
        <is>
          <t>NO</t>
        </is>
      </c>
      <c r="C31" s="9" t="inlineStr">
        <is>
          <t>NO</t>
        </is>
      </c>
      <c r="D31" s="10" t="inlineStr">
        <is>
          <t>3° Año</t>
        </is>
      </c>
      <c r="E31" s="10">
        <f>IF(B31="SI", "REGULAR", "PENDIENTE")</f>
        <v/>
      </c>
      <c r="F31" s="10">
        <f>IF(C31="SI", "APROBADO", IF(B31="SI", "ADEUDA FINAL", "ADEUDA"))</f>
        <v/>
      </c>
      <c r="G31" s="11">
        <f>IF(C31="SI", "🟢 Aprobada", IF(B31="SI", "🟡 Regular", "🟣 Pendiente"))</f>
        <v/>
      </c>
    </row>
    <row r="32" ht="20" customHeight="1">
      <c r="A32" s="8" t="inlineStr">
        <is>
          <t>Historia Social de la Educación</t>
        </is>
      </c>
      <c r="B32" s="9" t="inlineStr">
        <is>
          <t>NO</t>
        </is>
      </c>
      <c r="C32" s="9" t="inlineStr">
        <is>
          <t>NO</t>
        </is>
      </c>
      <c r="D32" s="10" t="inlineStr">
        <is>
          <t>3° Año</t>
        </is>
      </c>
      <c r="E32" s="10">
        <f>IF(B32="SI", "REGULAR", "PENDIENTE")</f>
        <v/>
      </c>
      <c r="F32" s="10">
        <f>IF(C32="SI", "APROBADO", IF(B32="SI", "ADEUDA FINAL", "ADEUDA"))</f>
        <v/>
      </c>
      <c r="G32" s="11">
        <f>IF(C32="SI", "🟢 Aprobada", IF(B32="SI", "🟡 Regular", "🟣 Pendiente"))</f>
        <v/>
      </c>
    </row>
    <row r="33" ht="20" customHeight="1">
      <c r="A33" s="8" t="inlineStr">
        <is>
          <t>Derechos Humanos, Sociedad y Estado</t>
        </is>
      </c>
      <c r="B33" s="9" t="inlineStr">
        <is>
          <t>NO</t>
        </is>
      </c>
      <c r="C33" s="9" t="inlineStr">
        <is>
          <t>NO</t>
        </is>
      </c>
      <c r="D33" s="10" t="inlineStr">
        <is>
          <t>3° Año</t>
        </is>
      </c>
      <c r="E33" s="10">
        <f>IF(B33="SI", "REGULAR", "PENDIENTE")</f>
        <v/>
      </c>
      <c r="F33" s="10">
        <f>IF(C33="SI", "APROBADO", IF(B33="SI", "ADEUDA FINAL", "ADEUDA"))</f>
        <v/>
      </c>
      <c r="G33" s="11">
        <f>IF(C33="SI", "🟢 Aprobada", IF(B33="SI", "🟡 Regular", "🟣 Pendiente"))</f>
        <v/>
      </c>
    </row>
    <row r="34" ht="22" customHeight="1">
      <c r="A34" s="7" t="inlineStr">
        <is>
          <t>📌 4° AÑO</t>
        </is>
      </c>
    </row>
    <row r="35" ht="20" customHeight="1">
      <c r="A35" s="8" t="inlineStr">
        <is>
          <t>Lengua Inglesa IV</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Análisis del Discurso en Lengua Inglesa</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Literatura en Lengua Inglesa III y Contemporánea</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0" customHeight="1">
      <c r="A38" s="8" t="inlineStr">
        <is>
          <t>Estudios Culturales Anglófonos</t>
        </is>
      </c>
      <c r="B38" s="9" t="inlineStr">
        <is>
          <t>NO</t>
        </is>
      </c>
      <c r="C38" s="9" t="inlineStr">
        <is>
          <t>NO</t>
        </is>
      </c>
      <c r="D38" s="10" t="inlineStr">
        <is>
          <t>4° Año</t>
        </is>
      </c>
      <c r="E38" s="10">
        <f>IF(B38="SI", "REGULAR", "PENDIENTE")</f>
        <v/>
      </c>
      <c r="F38" s="10">
        <f>IF(C38="SI", "APROBADO", IF(B38="SI", "ADEUDA FINAL", "ADEUDA"))</f>
        <v/>
      </c>
      <c r="G38" s="11">
        <f>IF(C38="SI", "🟢 Aprobada", IF(B38="SI", "🟡 Regular", "🟣 Pendiente"))</f>
        <v/>
      </c>
    </row>
    <row r="39" ht="20" customHeight="1">
      <c r="A39" s="8" t="inlineStr">
        <is>
          <t>Didáctica Especial y Residencia en Nivel Medio y Superior</t>
        </is>
      </c>
      <c r="B39" s="9" t="inlineStr">
        <is>
          <t>NO</t>
        </is>
      </c>
      <c r="C39" s="9" t="inlineStr">
        <is>
          <t>NO</t>
        </is>
      </c>
      <c r="D39" s="10" t="inlineStr">
        <is>
          <t>4° Año</t>
        </is>
      </c>
      <c r="E39" s="10">
        <f>IF(B39="SI", "REGULAR", "PENDIENTE")</f>
        <v/>
      </c>
      <c r="F39" s="10">
        <f>IF(C39="SI", "APROBADO", IF(B39="SI", "ADEUDA FINAL", "ADEUDA"))</f>
        <v/>
      </c>
      <c r="G39" s="11">
        <f>IF(C39="SI", "🟢 Aprobada", IF(B39="SI", "🟡 Regular", "🟣 Pendiente"))</f>
        <v/>
      </c>
    </row>
    <row r="40" ht="20" customHeight="1">
      <c r="A40" s="8" t="inlineStr">
        <is>
          <t>Educación Sexual Integral (ESI)</t>
        </is>
      </c>
      <c r="B40" s="9" t="inlineStr">
        <is>
          <t>NO</t>
        </is>
      </c>
      <c r="C40" s="9" t="inlineStr">
        <is>
          <t>NO</t>
        </is>
      </c>
      <c r="D40" s="10" t="inlineStr">
        <is>
          <t>4° Año</t>
        </is>
      </c>
      <c r="E40" s="10">
        <f>IF(B40="SI", "REGULAR", "PENDIENTE")</f>
        <v/>
      </c>
      <c r="F40" s="10">
        <f>IF(C40="SI", "APROBADO", IF(B40="SI", "ADEUDA FINAL", "ADEUDA"))</f>
        <v/>
      </c>
      <c r="G40" s="11">
        <f>IF(C40="SI", "🟢 Aprobada", IF(B40="SI", "🟡 Regular", "🟣 Pendiente"))</f>
        <v/>
      </c>
    </row>
    <row r="41" ht="20" customHeight="1">
      <c r="A41" s="8" t="inlineStr">
        <is>
          <t>Ética y Trabajo Docente</t>
        </is>
      </c>
      <c r="B41" s="9" t="inlineStr">
        <is>
          <t>NO</t>
        </is>
      </c>
      <c r="C41" s="9" t="inlineStr">
        <is>
          <t>NO</t>
        </is>
      </c>
      <c r="D41" s="10" t="inlineStr">
        <is>
          <t>4° Año</t>
        </is>
      </c>
      <c r="E41" s="10">
        <f>IF(B41="SI", "REGULAR", "PENDIENTE")</f>
        <v/>
      </c>
      <c r="F41" s="10">
        <f>IF(C41="SI", "APROBADO", IF(B41="SI", "ADEUDA FINAL", "ADEUDA"))</f>
        <v/>
      </c>
      <c r="G41" s="11">
        <f>IF(C41="SI", "🟢 Aprobada", IF(B41="SI", "🟡 Regular", "🟣 Pendiente"))</f>
        <v/>
      </c>
    </row>
    <row r="42" ht="22" customHeight="1">
      <c r="A42" s="7" t="inlineStr">
        <is>
          <t>📌 TRAMO SUPERIOR / SEMINARIOS</t>
        </is>
      </c>
    </row>
    <row r="43" ht="20" customHeight="1">
      <c r="A43" s="8" t="inlineStr">
        <is>
          <t>Seminario de Literatura en Lengua Inglesa</t>
        </is>
      </c>
      <c r="B43" s="9" t="inlineStr">
        <is>
          <t>NO</t>
        </is>
      </c>
      <c r="C43" s="9" t="inlineStr">
        <is>
          <t>NO</t>
        </is>
      </c>
      <c r="D43" s="10" t="inlineStr">
        <is>
          <t>Tramo Superior / Seminarios</t>
        </is>
      </c>
      <c r="E43" s="10">
        <f>IF(B43="SI", "REGULAR", "PENDIENTE")</f>
        <v/>
      </c>
      <c r="F43" s="10">
        <f>IF(C43="SI", "APROBADO", IF(B43="SI", "ADEUDA FINAL", "ADEUDA"))</f>
        <v/>
      </c>
      <c r="G43" s="11">
        <f>IF(C43="SI", "🟢 Aprobada", IF(B43="SI", "🟡 Regular", "🟣 Pendiente"))</f>
        <v/>
      </c>
    </row>
    <row r="44" ht="20" customHeight="1">
      <c r="A44" s="8" t="inlineStr">
        <is>
          <t>Seminario de Lingüística y Adquisición del Lenguaje</t>
        </is>
      </c>
      <c r="B44" s="9" t="inlineStr">
        <is>
          <t>NO</t>
        </is>
      </c>
      <c r="C44" s="9" t="inlineStr">
        <is>
          <t>NO</t>
        </is>
      </c>
      <c r="D44" s="10" t="inlineStr">
        <is>
          <t>Tramo Superior / Seminarios</t>
        </is>
      </c>
      <c r="E44" s="10">
        <f>IF(B44="SI", "REGULAR", "PENDIENTE")</f>
        <v/>
      </c>
      <c r="F44" s="10">
        <f>IF(C44="SI", "APROBADO", IF(B44="SI", "ADEUDA FINAL", "ADEUDA"))</f>
        <v/>
      </c>
      <c r="G44" s="11">
        <f>IF(C44="SI", "🟢 Aprobada", IF(B44="SI", "🟡 Regular", "🟣 Pendiente"))</f>
        <v/>
      </c>
    </row>
    <row r="45" ht="20" customHeight="1">
      <c r="A45" s="8" t="inlineStr">
        <is>
          <t>Taller de Traducción y Práctica Profesional</t>
        </is>
      </c>
      <c r="B45" s="9" t="inlineStr">
        <is>
          <t>NO</t>
        </is>
      </c>
      <c r="C45" s="9" t="inlineStr">
        <is>
          <t>NO</t>
        </is>
      </c>
      <c r="D45" s="10" t="inlineStr">
        <is>
          <t>Tramo Superior / Seminarios</t>
        </is>
      </c>
      <c r="E45" s="10">
        <f>IF(B45="SI", "REGULAR", "PENDIENTE")</f>
        <v/>
      </c>
      <c r="F45" s="10">
        <f>IF(C45="SI", "APROBADO", IF(B45="SI", "ADEUDA FINAL", "ADEUDA"))</f>
        <v/>
      </c>
      <c r="G45" s="11">
        <f>IF(C45="SI", "🟢 Aprobada", IF(B45="SI", "🟡 Regular", "🟣 Pendiente"))</f>
        <v/>
      </c>
    </row>
  </sheetData>
  <mergeCells count="15">
    <mergeCell ref="A14:G14"/>
    <mergeCell ref="I12:J12"/>
    <mergeCell ref="I14:J14"/>
    <mergeCell ref="A1:G1"/>
    <mergeCell ref="I15:J15"/>
    <mergeCell ref="I10:J10"/>
    <mergeCell ref="A34:G34"/>
    <mergeCell ref="I1:K1"/>
    <mergeCell ref="I11:J11"/>
    <mergeCell ref="A24:G24"/>
    <mergeCell ref="A2:G2"/>
    <mergeCell ref="A42:G42"/>
    <mergeCell ref="I13:J13"/>
    <mergeCell ref="I9:J9"/>
    <mergeCell ref="A5:G5"/>
  </mergeCells>
  <dataValidations count="1">
    <dataValidation sqref="B6 B7 B8 B9 B10 B11 B12 B13 B15 B16 B17 B18 B19 B20 B21 B22 B23 B25 B26 B27 B28 B29 B30 B31 B32 B33 B35 B36 B37 B38 B39 B40 B41 B43 B44 B45 C6 C7 C8 C9 C10 C11 C12 C13 C15 C16 C17 C18 C19 C20 C21 C22 C23 C25 C26 C27 C28 C29 C30 C31 C32 C33 C35 C36 C37 C38 C39 C40 C41 C43 C44 C45"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2026-08-31T01:11:53Z</dcterms:created>
  <dcterms:modified xmlns:dcterms="http://purl.org/dc/terms/" xmlns:xsi="http://www.w3.org/2001/XMLSchema-instance" xsi:type="dcterms:W3CDTF">2026-08-31T01:11:53Z</dcterms:modified>
</cp:coreProperties>
</file>