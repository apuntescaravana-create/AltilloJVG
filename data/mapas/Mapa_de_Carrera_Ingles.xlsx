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5"/>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INGLÉS</t>
        </is>
      </c>
      <c r="I1" s="2" t="inlineStr">
        <is>
          <t>CONTROL DE TRAYECTORIA</t>
        </is>
      </c>
    </row>
    <row r="2" ht="22" customHeight="1">
      <c r="A2" s="3" t="inlineStr">
        <is>
          <t>La Caravana + Estudiantes Independientes | Altillo JVG - ISP Joaquín V. González</t>
        </is>
      </c>
      <c r="I2" s="4" t="inlineStr">
        <is>
          <t>Total de Materias del Plan</t>
        </is>
      </c>
      <c r="J2" s="5" t="n">
        <v>64</v>
      </c>
    </row>
    <row r="3" ht="22" customHeight="1">
      <c r="I3" s="4" t="inlineStr">
        <is>
          <t>Materias con Cursada Regular</t>
        </is>
      </c>
      <c r="J3" s="5">
        <f>COUNTIF(B6:B75,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COUNTIF(C6:C75, "SI")</f>
        <v/>
      </c>
    </row>
    <row r="5" ht="22" customHeight="1">
      <c r="A5" s="7" t="inlineStr">
        <is>
          <t>📌 1° AÑO</t>
        </is>
      </c>
      <c r="I5" s="4" t="inlineStr">
        <is>
          <t>Finales Adeudados</t>
        </is>
      </c>
      <c r="J5" s="5">
        <f>COUNTIF(F6:F75, "ADEUDA FINAL")</f>
        <v/>
      </c>
    </row>
    <row r="6" ht="22" customHeight="1">
      <c r="A6" s="8" t="inlineStr">
        <is>
          <t>Fonética Y Fonología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COUNTIF(B6:B75, "SI")/64</f>
        <v/>
      </c>
    </row>
    <row r="7" ht="22" customHeight="1">
      <c r="A7" s="8" t="inlineStr">
        <is>
          <t>Geografía. Y Cultura DE LAS ISLAS Británicas</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COUNTIF(C6:C75, "SI")/64</f>
        <v/>
      </c>
    </row>
    <row r="8" ht="20" customHeight="1">
      <c r="A8" s="8" t="inlineStr">
        <is>
          <t>Geografía. Y Cultura. DE EE.UU</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Geografía. Y CULTURA DE LAS ISLAS BRIT. (1º C)</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Geografía. Y CULTURA DE LOS EE.UU.. (1ºC)</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Geografía Y CULTURA DE LAS I. Británicas</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Gramática INGLESA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Lectura, Escritura y Oralidad I (LEO 1)</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Lengua Inglesa I</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Pedagogía</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Práctica EN LABORATORIO DE IDIOMAS I</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0" customHeight="1">
      <c r="A17" s="8" t="inlineStr">
        <is>
          <t>Práctica EN LABORATORIO I</t>
        </is>
      </c>
      <c r="B17" s="9" t="inlineStr">
        <is>
          <t>NO</t>
        </is>
      </c>
      <c r="C17" s="9" t="inlineStr">
        <is>
          <t>NO</t>
        </is>
      </c>
      <c r="D17" s="10" t="inlineStr">
        <is>
          <t>1° Año</t>
        </is>
      </c>
      <c r="E17" s="10">
        <f>IF(B17="SI", "REGULAR", "PENDIENTE")</f>
        <v/>
      </c>
      <c r="F17" s="10">
        <f>IF(C17="SI", "APROBADO", IF(B17="SI", "ADEUDA FINAL", "ADEUDA"))</f>
        <v/>
      </c>
      <c r="G17" s="11">
        <f>IF(C17="SI", "🟢 Aprobada", IF(B17="SI", "🟡 Regular", "🟣 Pendiente"))</f>
        <v/>
      </c>
    </row>
    <row r="18" ht="20" customHeight="1">
      <c r="A18" s="8" t="inlineStr">
        <is>
          <t>Psicología EDUCACIONAL</t>
        </is>
      </c>
      <c r="B18" s="9" t="inlineStr">
        <is>
          <t>NO</t>
        </is>
      </c>
      <c r="C18" s="9" t="inlineStr">
        <is>
          <t>NO</t>
        </is>
      </c>
      <c r="D18" s="10" t="inlineStr">
        <is>
          <t>1° Año</t>
        </is>
      </c>
      <c r="E18" s="10">
        <f>IF(B18="SI", "REGULAR", "PENDIENTE")</f>
        <v/>
      </c>
      <c r="F18" s="10">
        <f>IF(C18="SI", "APROBADO", IF(B18="SI", "ADEUDA FINAL", "ADEUDA"))</f>
        <v/>
      </c>
      <c r="G18" s="11">
        <f>IF(C18="SI", "🟢 Aprobada", IF(B18="SI", "🟡 Regular", "🟣 Pendiente"))</f>
        <v/>
      </c>
    </row>
    <row r="19" ht="20" customHeight="1">
      <c r="A19" s="8" t="inlineStr">
        <is>
          <t>Sujetos de Nivel</t>
        </is>
      </c>
      <c r="B19" s="9" t="inlineStr">
        <is>
          <t>NO</t>
        </is>
      </c>
      <c r="C19" s="9" t="inlineStr">
        <is>
          <t>NO</t>
        </is>
      </c>
      <c r="D19" s="10" t="inlineStr">
        <is>
          <t>1° Año</t>
        </is>
      </c>
      <c r="E19" s="10">
        <f>IF(B19="SI", "REGULAR", "PENDIENTE")</f>
        <v/>
      </c>
      <c r="F19" s="10">
        <f>IF(C19="SI", "APROBADO", IF(B19="SI", "ADEUDA FINAL", "ADEUDA"))</f>
        <v/>
      </c>
      <c r="G19" s="11">
        <f>IF(C19="SI", "🟢 Aprobada", IF(B19="SI", "🟡 Regular", "🟣 Pendiente"))</f>
        <v/>
      </c>
    </row>
    <row r="20" ht="20" customHeight="1">
      <c r="A20" s="8" t="inlineStr">
        <is>
          <t>Sujetos del Nivel</t>
        </is>
      </c>
      <c r="B20" s="9" t="inlineStr">
        <is>
          <t>NO</t>
        </is>
      </c>
      <c r="C20" s="9" t="inlineStr">
        <is>
          <t>NO</t>
        </is>
      </c>
      <c r="D20" s="10" t="inlineStr">
        <is>
          <t>1° Año</t>
        </is>
      </c>
      <c r="E20" s="10">
        <f>IF(B20="SI", "REGULAR", "PENDIENTE")</f>
        <v/>
      </c>
      <c r="F20" s="10">
        <f>IF(C20="SI", "APROBADO", IF(B20="SI", "ADEUDA FINAL", "ADEUDA"))</f>
        <v/>
      </c>
      <c r="G20" s="11">
        <f>IF(C20="SI", "🟢 Aprobada", IF(B20="SI", "🟡 Regular", "🟣 Pendiente"))</f>
        <v/>
      </c>
    </row>
    <row r="21" ht="20" customHeight="1">
      <c r="A21" s="8" t="inlineStr">
        <is>
          <t>Trabajo de Campo I</t>
        </is>
      </c>
      <c r="B21" s="9" t="inlineStr">
        <is>
          <t>NO</t>
        </is>
      </c>
      <c r="C21" s="9" t="inlineStr">
        <is>
          <t>NO</t>
        </is>
      </c>
      <c r="D21" s="10" t="inlineStr">
        <is>
          <t>1° Año</t>
        </is>
      </c>
      <c r="E21" s="10">
        <f>IF(B21="SI", "REGULAR", "PENDIENTE")</f>
        <v/>
      </c>
      <c r="F21" s="10">
        <f>IF(C21="SI", "APROBADO", IF(B21="SI", "ADEUDA FINAL", "ADEUDA"))</f>
        <v/>
      </c>
      <c r="G21" s="11">
        <f>IF(C21="SI", "🟢 Aprobada", IF(B21="SI", "🟡 Regular", "🟣 Pendiente"))</f>
        <v/>
      </c>
    </row>
    <row r="22" ht="22" customHeight="1">
      <c r="A22" s="7" t="inlineStr">
        <is>
          <t>📌 2° AÑO</t>
        </is>
      </c>
    </row>
    <row r="23" ht="20" customHeight="1">
      <c r="A23" s="8" t="inlineStr">
        <is>
          <t>Análisis DEL DISCURSO</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Construcción de la Práctica Docente. en Nivel Inicial y Primario I</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Construcción de la Práctica DocenteN INIC. Y PRIM I</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Didáctica GENERAL</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Fonética Y Fonología II</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0" customHeight="1">
      <c r="A28" s="8" t="inlineStr">
        <is>
          <t>Gramática INGLESA II</t>
        </is>
      </c>
      <c r="B28" s="9" t="inlineStr">
        <is>
          <t>NO</t>
        </is>
      </c>
      <c r="C28" s="9" t="inlineStr">
        <is>
          <t>NO</t>
        </is>
      </c>
      <c r="D28" s="10" t="inlineStr">
        <is>
          <t>2° Año</t>
        </is>
      </c>
      <c r="E28" s="10">
        <f>IF(B28="SI", "REGULAR", "PENDIENTE")</f>
        <v/>
      </c>
      <c r="F28" s="10">
        <f>IF(C28="SI", "APROBADO", IF(B28="SI", "ADEUDA FINAL", "ADEUDA"))</f>
        <v/>
      </c>
      <c r="G28" s="11">
        <f>IF(C28="SI", "🟢 Aprobada", IF(B28="SI", "🟡 Regular", "🟣 Pendiente"))</f>
        <v/>
      </c>
    </row>
    <row r="29" ht="20" customHeight="1">
      <c r="A29" s="8" t="inlineStr">
        <is>
          <t>Historia de la Civilizacion Inglesa I</t>
        </is>
      </c>
      <c r="B29" s="9" t="inlineStr">
        <is>
          <t>NO</t>
        </is>
      </c>
      <c r="C29" s="9" t="inlineStr">
        <is>
          <t>NO</t>
        </is>
      </c>
      <c r="D29" s="10" t="inlineStr">
        <is>
          <t>2° Año</t>
        </is>
      </c>
      <c r="E29" s="10">
        <f>IF(B29="SI", "REGULAR", "PENDIENTE")</f>
        <v/>
      </c>
      <c r="F29" s="10">
        <f>IF(C29="SI", "APROBADO", IF(B29="SI", "ADEUDA FINAL", "ADEUDA"))</f>
        <v/>
      </c>
      <c r="G29" s="11">
        <f>IF(C29="SI", "🟢 Aprobada", IF(B29="SI", "🟡 Regular", "🟣 Pendiente"))</f>
        <v/>
      </c>
    </row>
    <row r="30" ht="20" customHeight="1">
      <c r="A30" s="8" t="inlineStr">
        <is>
          <t>Lengua Inglesa II</t>
        </is>
      </c>
      <c r="B30" s="9" t="inlineStr">
        <is>
          <t>NO</t>
        </is>
      </c>
      <c r="C30" s="9" t="inlineStr">
        <is>
          <t>NO</t>
        </is>
      </c>
      <c r="D30" s="10" t="inlineStr">
        <is>
          <t>2° Año</t>
        </is>
      </c>
      <c r="E30" s="10">
        <f>IF(B30="SI", "REGULAR", "PENDIENTE")</f>
        <v/>
      </c>
      <c r="F30" s="10">
        <f>IF(C30="SI", "APROBADO", IF(B30="SI", "ADEUDA FINAL", "ADEUDA"))</f>
        <v/>
      </c>
      <c r="G30" s="11">
        <f>IF(C30="SI", "🟢 Aprobada", IF(B30="SI", "🟡 Regular", "🟣 Pendiente"))</f>
        <v/>
      </c>
    </row>
    <row r="31" ht="20" customHeight="1">
      <c r="A31" s="8" t="inlineStr">
        <is>
          <t>Literatura Inglesa I</t>
        </is>
      </c>
      <c r="B31" s="9" t="inlineStr">
        <is>
          <t>NO</t>
        </is>
      </c>
      <c r="C31" s="9" t="inlineStr">
        <is>
          <t>NO</t>
        </is>
      </c>
      <c r="D31" s="10" t="inlineStr">
        <is>
          <t>2° Año</t>
        </is>
      </c>
      <c r="E31" s="10">
        <f>IF(B31="SI", "REGULAR", "PENDIENTE")</f>
        <v/>
      </c>
      <c r="F31" s="10">
        <f>IF(C31="SI", "APROBADO", IF(B31="SI", "ADEUDA FINAL", "ADEUDA"))</f>
        <v/>
      </c>
      <c r="G31" s="11">
        <f>IF(C31="SI", "🟢 Aprobada", IF(B31="SI", "🟡 Regular", "🟣 Pendiente"))</f>
        <v/>
      </c>
    </row>
    <row r="32" ht="20" customHeight="1">
      <c r="A32" s="8" t="inlineStr">
        <is>
          <t>Práctica EN LABORATORIO DE IDIOMAS II</t>
        </is>
      </c>
      <c r="B32" s="9" t="inlineStr">
        <is>
          <t>NO</t>
        </is>
      </c>
      <c r="C32" s="9" t="inlineStr">
        <is>
          <t>NO</t>
        </is>
      </c>
      <c r="D32" s="10" t="inlineStr">
        <is>
          <t>2° Año</t>
        </is>
      </c>
      <c r="E32" s="10">
        <f>IF(B32="SI", "REGULAR", "PENDIENTE")</f>
        <v/>
      </c>
      <c r="F32" s="10">
        <f>IF(C32="SI", "APROBADO", IF(B32="SI", "ADEUDA FINAL", "ADEUDA"))</f>
        <v/>
      </c>
      <c r="G32" s="11">
        <f>IF(C32="SI", "🟢 Aprobada", IF(B32="SI", "🟡 Regular", "🟣 Pendiente"))</f>
        <v/>
      </c>
    </row>
    <row r="33" ht="20" customHeight="1">
      <c r="A33" s="8" t="inlineStr">
        <is>
          <t>Práctica EN LABORATORIO II</t>
        </is>
      </c>
      <c r="B33" s="9" t="inlineStr">
        <is>
          <t>NO</t>
        </is>
      </c>
      <c r="C33" s="9" t="inlineStr">
        <is>
          <t>NO</t>
        </is>
      </c>
      <c r="D33" s="10" t="inlineStr">
        <is>
          <t>2° Año</t>
        </is>
      </c>
      <c r="E33" s="10">
        <f>IF(B33="SI", "REGULAR", "PENDIENTE")</f>
        <v/>
      </c>
      <c r="F33" s="10">
        <f>IF(C33="SI", "APROBADO", IF(B33="SI", "ADEUDA FINAL", "ADEUDA"))</f>
        <v/>
      </c>
      <c r="G33" s="11">
        <f>IF(C33="SI", "🟢 Aprobada", IF(B33="SI", "🟡 Regular", "🟣 Pendiente"))</f>
        <v/>
      </c>
    </row>
    <row r="34" ht="20" customHeight="1">
      <c r="A34" s="8" t="inlineStr">
        <is>
          <t>Trabajo de Campo II</t>
        </is>
      </c>
      <c r="B34" s="9" t="inlineStr">
        <is>
          <t>NO</t>
        </is>
      </c>
      <c r="C34" s="9" t="inlineStr">
        <is>
          <t>NO</t>
        </is>
      </c>
      <c r="D34" s="10" t="inlineStr">
        <is>
          <t>2° Año</t>
        </is>
      </c>
      <c r="E34" s="10">
        <f>IF(B34="SI", "REGULAR", "PENDIENTE")</f>
        <v/>
      </c>
      <c r="F34" s="10">
        <f>IF(C34="SI", "APROBADO", IF(B34="SI", "ADEUDA FINAL", "ADEUDA"))</f>
        <v/>
      </c>
      <c r="G34" s="11">
        <f>IF(C34="SI", "🟢 Aprobada", IF(B34="SI", "🟡 Regular", "🟣 Pendiente"))</f>
        <v/>
      </c>
    </row>
    <row r="35" ht="22" customHeight="1">
      <c r="A35" s="7" t="inlineStr">
        <is>
          <t>📌 3° AÑO</t>
        </is>
      </c>
    </row>
    <row r="36" ht="20" customHeight="1">
      <c r="A36" s="8" t="inlineStr">
        <is>
          <t>Adquisición de la Lengua Materna</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0" customHeight="1">
      <c r="A37" s="8" t="inlineStr">
        <is>
          <t>Construcción de la Práctica Docente. en Nivel Inicial y Primario II y Residencia</t>
        </is>
      </c>
      <c r="B37" s="9" t="inlineStr">
        <is>
          <t>NO</t>
        </is>
      </c>
      <c r="C37" s="9" t="inlineStr">
        <is>
          <t>NO</t>
        </is>
      </c>
      <c r="D37" s="10" t="inlineStr">
        <is>
          <t>3° Año</t>
        </is>
      </c>
      <c r="E37" s="10">
        <f>IF(B37="SI", "REGULAR", "PENDIENTE")</f>
        <v/>
      </c>
      <c r="F37" s="10">
        <f>IF(C37="SI", "APROBADO", IF(B37="SI", "ADEUDA FINAL", "ADEUDA"))</f>
        <v/>
      </c>
      <c r="G37" s="11">
        <f>IF(C37="SI", "🟢 Aprobada", IF(B37="SI", "🟡 Regular", "🟣 Pendiente"))</f>
        <v/>
      </c>
    </row>
    <row r="38" ht="20" customHeight="1">
      <c r="A38" s="8" t="inlineStr">
        <is>
          <t>Construcción de la Práctica Docente. en Nivel Medio I</t>
        </is>
      </c>
      <c r="B38" s="9" t="inlineStr">
        <is>
          <t>NO</t>
        </is>
      </c>
      <c r="C38" s="9" t="inlineStr">
        <is>
          <t>NO</t>
        </is>
      </c>
      <c r="D38" s="10" t="inlineStr">
        <is>
          <t>3° Año</t>
        </is>
      </c>
      <c r="E38" s="10">
        <f>IF(B38="SI", "REGULAR", "PENDIENTE")</f>
        <v/>
      </c>
      <c r="F38" s="10">
        <f>IF(C38="SI", "APROBADO", IF(B38="SI", "ADEUDA FINAL", "ADEUDA"))</f>
        <v/>
      </c>
      <c r="G38" s="11">
        <f>IF(C38="SI", "🟢 Aprobada", IF(B38="SI", "🟡 Regular", "🟣 Pendiente"))</f>
        <v/>
      </c>
    </row>
    <row r="39" ht="20" customHeight="1">
      <c r="A39" s="8" t="inlineStr">
        <is>
          <t>Construcción de la Práctica Docente EN en Nivel Medio I</t>
        </is>
      </c>
      <c r="B39" s="9" t="inlineStr">
        <is>
          <t>NO</t>
        </is>
      </c>
      <c r="C39" s="9" t="inlineStr">
        <is>
          <t>NO</t>
        </is>
      </c>
      <c r="D39" s="10" t="inlineStr">
        <is>
          <t>3° Año</t>
        </is>
      </c>
      <c r="E39" s="10">
        <f>IF(B39="SI", "REGULAR", "PENDIENTE")</f>
        <v/>
      </c>
      <c r="F39" s="10">
        <f>IF(C39="SI", "APROBADO", IF(B39="SI", "ADEUDA FINAL", "ADEUDA"))</f>
        <v/>
      </c>
      <c r="G39" s="11">
        <f>IF(C39="SI", "🟢 Aprobada", IF(B39="SI", "🟡 Regular", "🟣 Pendiente"))</f>
        <v/>
      </c>
    </row>
    <row r="40" ht="20" customHeight="1">
      <c r="A40" s="8" t="inlineStr">
        <is>
          <t>Educación SEXUAL INTEGRAL</t>
        </is>
      </c>
      <c r="B40" s="9" t="inlineStr">
        <is>
          <t>NO</t>
        </is>
      </c>
      <c r="C40" s="9" t="inlineStr">
        <is>
          <t>NO</t>
        </is>
      </c>
      <c r="D40" s="10" t="inlineStr">
        <is>
          <t>3° Año</t>
        </is>
      </c>
      <c r="E40" s="10">
        <f>IF(B40="SI", "REGULAR", "PENDIENTE")</f>
        <v/>
      </c>
      <c r="F40" s="10">
        <f>IF(C40="SI", "APROBADO", IF(B40="SI", "ADEUDA FINAL", "ADEUDA"))</f>
        <v/>
      </c>
      <c r="G40" s="11">
        <f>IF(C40="SI", "🟢 Aprobada", IF(B40="SI", "🟡 Regular", "🟣 Pendiente"))</f>
        <v/>
      </c>
    </row>
    <row r="41" ht="20" customHeight="1">
      <c r="A41" s="8" t="inlineStr">
        <is>
          <t>Filosofía</t>
        </is>
      </c>
      <c r="B41" s="9" t="inlineStr">
        <is>
          <t>NO</t>
        </is>
      </c>
      <c r="C41" s="9" t="inlineStr">
        <is>
          <t>NO</t>
        </is>
      </c>
      <c r="D41" s="10" t="inlineStr">
        <is>
          <t>3° Año</t>
        </is>
      </c>
      <c r="E41" s="10">
        <f>IF(B41="SI", "REGULAR", "PENDIENTE")</f>
        <v/>
      </c>
      <c r="F41" s="10">
        <f>IF(C41="SI", "APROBADO", IF(B41="SI", "ADEUDA FINAL", "ADEUDA"))</f>
        <v/>
      </c>
      <c r="G41" s="11">
        <f>IF(C41="SI", "🟢 Aprobada", IF(B41="SI", "🟡 Regular", "🟣 Pendiente"))</f>
        <v/>
      </c>
    </row>
    <row r="42" ht="20" customHeight="1">
      <c r="A42" s="8" t="inlineStr">
        <is>
          <t>Fonología EN Laboratorio. Y SU DIDATICA I</t>
        </is>
      </c>
      <c r="B42" s="9" t="inlineStr">
        <is>
          <t>NO</t>
        </is>
      </c>
      <c r="C42" s="9" t="inlineStr">
        <is>
          <t>NO</t>
        </is>
      </c>
      <c r="D42" s="10" t="inlineStr">
        <is>
          <t>3° Año</t>
        </is>
      </c>
      <c r="E42" s="10">
        <f>IF(B42="SI", "REGULAR", "PENDIENTE")</f>
        <v/>
      </c>
      <c r="F42" s="10">
        <f>IF(C42="SI", "APROBADO", IF(B42="SI", "ADEUDA FINAL", "ADEUDA"))</f>
        <v/>
      </c>
      <c r="G42" s="11">
        <f>IF(C42="SI", "🟢 Aprobada", IF(B42="SI", "🟡 Regular", "🟣 Pendiente"))</f>
        <v/>
      </c>
    </row>
    <row r="43" ht="20" customHeight="1">
      <c r="A43" s="8" t="inlineStr">
        <is>
          <t>Fonología EN LABORATORIO Y SU DIDAC. I</t>
        </is>
      </c>
      <c r="B43" s="9" t="inlineStr">
        <is>
          <t>NO</t>
        </is>
      </c>
      <c r="C43" s="9" t="inlineStr">
        <is>
          <t>NO</t>
        </is>
      </c>
      <c r="D43" s="10" t="inlineStr">
        <is>
          <t>3° Año</t>
        </is>
      </c>
      <c r="E43" s="10">
        <f>IF(B43="SI", "REGULAR", "PENDIENTE")</f>
        <v/>
      </c>
      <c r="F43" s="10">
        <f>IF(C43="SI", "APROBADO", IF(B43="SI", "ADEUDA FINAL", "ADEUDA"))</f>
        <v/>
      </c>
      <c r="G43" s="11">
        <f>IF(C43="SI", "🟢 Aprobada", IF(B43="SI", "🟡 Regular", "🟣 Pendiente"))</f>
        <v/>
      </c>
    </row>
    <row r="44" ht="20" customHeight="1">
      <c r="A44" s="8" t="inlineStr">
        <is>
          <t>Historia. DE LA CIVILIZACION INGLESA II</t>
        </is>
      </c>
      <c r="B44" s="9" t="inlineStr">
        <is>
          <t>NO</t>
        </is>
      </c>
      <c r="C44" s="9" t="inlineStr">
        <is>
          <t>NO</t>
        </is>
      </c>
      <c r="D44" s="10" t="inlineStr">
        <is>
          <t>3° Año</t>
        </is>
      </c>
      <c r="E44" s="10">
        <f>IF(B44="SI", "REGULAR", "PENDIENTE")</f>
        <v/>
      </c>
      <c r="F44" s="10">
        <f>IF(C44="SI", "APROBADO", IF(B44="SI", "ADEUDA FINAL", "ADEUDA"))</f>
        <v/>
      </c>
      <c r="G44" s="11">
        <f>IF(C44="SI", "🟢 Aprobada", IF(B44="SI", "🟡 Regular", "🟣 Pendiente"))</f>
        <v/>
      </c>
    </row>
    <row r="45" ht="20" customHeight="1">
      <c r="A45" s="8" t="inlineStr">
        <is>
          <t>Historia Norteamericana</t>
        </is>
      </c>
      <c r="B45" s="9" t="inlineStr">
        <is>
          <t>NO</t>
        </is>
      </c>
      <c r="C45" s="9" t="inlineStr">
        <is>
          <t>NO</t>
        </is>
      </c>
      <c r="D45" s="10" t="inlineStr">
        <is>
          <t>3° Año</t>
        </is>
      </c>
      <c r="E45" s="10">
        <f>IF(B45="SI", "REGULAR", "PENDIENTE")</f>
        <v/>
      </c>
      <c r="F45" s="10">
        <f>IF(C45="SI", "APROBADO", IF(B45="SI", "ADEUDA FINAL", "ADEUDA"))</f>
        <v/>
      </c>
      <c r="G45" s="11">
        <f>IF(C45="SI", "🟢 Aprobada", IF(B45="SI", "🟡 Regular", "🟣 Pendiente"))</f>
        <v/>
      </c>
    </row>
    <row r="46" ht="20" customHeight="1">
      <c r="A46" s="8" t="inlineStr">
        <is>
          <t>Introduccion a la Lingüística</t>
        </is>
      </c>
      <c r="B46" s="9" t="inlineStr">
        <is>
          <t>NO</t>
        </is>
      </c>
      <c r="C46" s="9" t="inlineStr">
        <is>
          <t>NO</t>
        </is>
      </c>
      <c r="D46" s="10" t="inlineStr">
        <is>
          <t>3° Año</t>
        </is>
      </c>
      <c r="E46" s="10">
        <f>IF(B46="SI", "REGULAR", "PENDIENTE")</f>
        <v/>
      </c>
      <c r="F46" s="10">
        <f>IF(C46="SI", "APROBADO", IF(B46="SI", "ADEUDA FINAL", "ADEUDA"))</f>
        <v/>
      </c>
      <c r="G46" s="11">
        <f>IF(C46="SI", "🟢 Aprobada", IF(B46="SI", "🟡 Regular", "🟣 Pendiente"))</f>
        <v/>
      </c>
    </row>
    <row r="47" ht="20" customHeight="1">
      <c r="A47" s="8" t="inlineStr">
        <is>
          <t>Lengua Inglesa III</t>
        </is>
      </c>
      <c r="B47" s="9" t="inlineStr">
        <is>
          <t>NO</t>
        </is>
      </c>
      <c r="C47" s="9" t="inlineStr">
        <is>
          <t>NO</t>
        </is>
      </c>
      <c r="D47" s="10" t="inlineStr">
        <is>
          <t>3° Año</t>
        </is>
      </c>
      <c r="E47" s="10">
        <f>IF(B47="SI", "REGULAR", "PENDIENTE")</f>
        <v/>
      </c>
      <c r="F47" s="10">
        <f>IF(C47="SI", "APROBADO", IF(B47="SI", "ADEUDA FINAL", "ADEUDA"))</f>
        <v/>
      </c>
      <c r="G47" s="11">
        <f>IF(C47="SI", "🟢 Aprobada", IF(B47="SI", "🟡 Regular", "🟣 Pendiente"))</f>
        <v/>
      </c>
    </row>
    <row r="48" ht="20" customHeight="1">
      <c r="A48" s="8" t="inlineStr">
        <is>
          <t>Literatura Inglesa II</t>
        </is>
      </c>
      <c r="B48" s="9" t="inlineStr">
        <is>
          <t>NO</t>
        </is>
      </c>
      <c r="C48" s="9" t="inlineStr">
        <is>
          <t>NO</t>
        </is>
      </c>
      <c r="D48" s="10" t="inlineStr">
        <is>
          <t>3° Año</t>
        </is>
      </c>
      <c r="E48" s="10">
        <f>IF(B48="SI", "REGULAR", "PENDIENTE")</f>
        <v/>
      </c>
      <c r="F48" s="10">
        <f>IF(C48="SI", "APROBADO", IF(B48="SI", "ADEUDA FINAL", "ADEUDA"))</f>
        <v/>
      </c>
      <c r="G48" s="11">
        <f>IF(C48="SI", "🟢 Aprobada", IF(B48="SI", "🟡 Regular", "🟣 Pendiente"))</f>
        <v/>
      </c>
    </row>
    <row r="49" ht="22" customHeight="1">
      <c r="A49" s="7" t="inlineStr">
        <is>
          <t>📌 4° AÑO</t>
        </is>
      </c>
    </row>
    <row r="50" ht="20" customHeight="1">
      <c r="A50" s="8" t="inlineStr">
        <is>
          <t>Construcción de la Práctica Docente. en Nivel Medio II y Residencia</t>
        </is>
      </c>
      <c r="B50" s="9" t="inlineStr">
        <is>
          <t>NO</t>
        </is>
      </c>
      <c r="C50" s="9" t="inlineStr">
        <is>
          <t>NO</t>
        </is>
      </c>
      <c r="D50" s="10" t="inlineStr">
        <is>
          <t>4° Año</t>
        </is>
      </c>
      <c r="E50" s="10">
        <f>IF(B50="SI", "REGULAR", "PENDIENTE")</f>
        <v/>
      </c>
      <c r="F50" s="10">
        <f>IF(C50="SI", "APROBADO", IF(B50="SI", "ADEUDA FINAL", "ADEUDA"))</f>
        <v/>
      </c>
      <c r="G50" s="11">
        <f>IF(C50="SI", "🟢 Aprobada", IF(B50="SI", "🟡 Regular", "🟣 Pendiente"))</f>
        <v/>
      </c>
    </row>
    <row r="51" ht="20" customHeight="1">
      <c r="A51" s="8" t="inlineStr">
        <is>
          <t>Derechos Humanos, SOCIEDAD Y ESTADO</t>
        </is>
      </c>
      <c r="B51" s="9" t="inlineStr">
        <is>
          <t>NO</t>
        </is>
      </c>
      <c r="C51" s="9" t="inlineStr">
        <is>
          <t>NO</t>
        </is>
      </c>
      <c r="D51" s="10" t="inlineStr">
        <is>
          <t>4° Año</t>
        </is>
      </c>
      <c r="E51" s="10">
        <f>IF(B51="SI", "REGULAR", "PENDIENTE")</f>
        <v/>
      </c>
      <c r="F51" s="10">
        <f>IF(C51="SI", "APROBADO", IF(B51="SI", "ADEUDA FINAL", "ADEUDA"))</f>
        <v/>
      </c>
      <c r="G51" s="11">
        <f>IF(C51="SI", "🟢 Aprobada", IF(B51="SI", "🟡 Regular", "🟣 Pendiente"))</f>
        <v/>
      </c>
    </row>
    <row r="52" ht="20" customHeight="1">
      <c r="A52" s="8" t="inlineStr">
        <is>
          <t>Fonología EN Laboratorio. Y Didáctica II</t>
        </is>
      </c>
      <c r="B52" s="9" t="inlineStr">
        <is>
          <t>NO</t>
        </is>
      </c>
      <c r="C52" s="9" t="inlineStr">
        <is>
          <t>NO</t>
        </is>
      </c>
      <c r="D52" s="10" t="inlineStr">
        <is>
          <t>4° Año</t>
        </is>
      </c>
      <c r="E52" s="10">
        <f>IF(B52="SI", "REGULAR", "PENDIENTE")</f>
        <v/>
      </c>
      <c r="F52" s="10">
        <f>IF(C52="SI", "APROBADO", IF(B52="SI", "ADEUDA FINAL", "ADEUDA"))</f>
        <v/>
      </c>
      <c r="G52" s="11">
        <f>IF(C52="SI", "🟢 Aprobada", IF(B52="SI", "🟡 Regular", "🟣 Pendiente"))</f>
        <v/>
      </c>
    </row>
    <row r="53" ht="20" customHeight="1">
      <c r="A53" s="8" t="inlineStr">
        <is>
          <t>HISTORIA DE LA Educación ARGENTINA</t>
        </is>
      </c>
      <c r="B53" s="9" t="inlineStr">
        <is>
          <t>NO</t>
        </is>
      </c>
      <c r="C53" s="9" t="inlineStr">
        <is>
          <t>NO</t>
        </is>
      </c>
      <c r="D53" s="10" t="inlineStr">
        <is>
          <t>4° Año</t>
        </is>
      </c>
      <c r="E53" s="10">
        <f>IF(B53="SI", "REGULAR", "PENDIENTE")</f>
        <v/>
      </c>
      <c r="F53" s="10">
        <f>IF(C53="SI", "APROBADO", IF(B53="SI", "ADEUDA FINAL", "ADEUDA"))</f>
        <v/>
      </c>
      <c r="G53" s="11">
        <f>IF(C53="SI", "🟢 Aprobada", IF(B53="SI", "🟡 Regular", "🟣 Pendiente"))</f>
        <v/>
      </c>
    </row>
    <row r="54" ht="20" customHeight="1">
      <c r="A54" s="8" t="inlineStr">
        <is>
          <t>Lengua Inglesa IV</t>
        </is>
      </c>
      <c r="B54" s="9" t="inlineStr">
        <is>
          <t>NO</t>
        </is>
      </c>
      <c r="C54" s="9" t="inlineStr">
        <is>
          <t>NO</t>
        </is>
      </c>
      <c r="D54" s="10" t="inlineStr">
        <is>
          <t>4° Año</t>
        </is>
      </c>
      <c r="E54" s="10">
        <f>IF(B54="SI", "REGULAR", "PENDIENTE")</f>
        <v/>
      </c>
      <c r="F54" s="10">
        <f>IF(C54="SI", "APROBADO", IF(B54="SI", "ADEUDA FINAL", "ADEUDA"))</f>
        <v/>
      </c>
      <c r="G54" s="11">
        <f>IF(C54="SI", "🟢 Aprobada", IF(B54="SI", "🟡 Regular", "🟣 Pendiente"))</f>
        <v/>
      </c>
    </row>
    <row r="55" ht="20" customHeight="1">
      <c r="A55" s="8" t="inlineStr">
        <is>
          <t>Literatura Contemporanea</t>
        </is>
      </c>
      <c r="B55" s="9" t="inlineStr">
        <is>
          <t>NO</t>
        </is>
      </c>
      <c r="C55" s="9" t="inlineStr">
        <is>
          <t>NO</t>
        </is>
      </c>
      <c r="D55" s="10" t="inlineStr">
        <is>
          <t>4° Año</t>
        </is>
      </c>
      <c r="E55" s="10">
        <f>IF(B55="SI", "REGULAR", "PENDIENTE")</f>
        <v/>
      </c>
      <c r="F55" s="10">
        <f>IF(C55="SI", "APROBADO", IF(B55="SI", "ADEUDA FINAL", "ADEUDA"))</f>
        <v/>
      </c>
      <c r="G55" s="11">
        <f>IF(C55="SI", "🟢 Aprobada", IF(B55="SI", "🟡 Regular", "🟣 Pendiente"))</f>
        <v/>
      </c>
    </row>
    <row r="56" ht="20" customHeight="1">
      <c r="A56" s="8" t="inlineStr">
        <is>
          <t>Literatura Inglesa III</t>
        </is>
      </c>
      <c r="B56" s="9" t="inlineStr">
        <is>
          <t>NO</t>
        </is>
      </c>
      <c r="C56" s="9" t="inlineStr">
        <is>
          <t>NO</t>
        </is>
      </c>
      <c r="D56" s="10" t="inlineStr">
        <is>
          <t>4° Año</t>
        </is>
      </c>
      <c r="E56" s="10">
        <f>IF(B56="SI", "REGULAR", "PENDIENTE")</f>
        <v/>
      </c>
      <c r="F56" s="10">
        <f>IF(C56="SI", "APROBADO", IF(B56="SI", "ADEUDA FINAL", "ADEUDA"))</f>
        <v/>
      </c>
      <c r="G56" s="11">
        <f>IF(C56="SI", "🟢 Aprobada", IF(B56="SI", "🟡 Regular", "🟣 Pendiente"))</f>
        <v/>
      </c>
    </row>
    <row r="57" ht="20" customHeight="1">
      <c r="A57" s="8" t="inlineStr">
        <is>
          <t>Literatura Norteamericana</t>
        </is>
      </c>
      <c r="B57" s="9" t="inlineStr">
        <is>
          <t>NO</t>
        </is>
      </c>
      <c r="C57" s="9" t="inlineStr">
        <is>
          <t>NO</t>
        </is>
      </c>
      <c r="D57" s="10" t="inlineStr">
        <is>
          <t>4° Año</t>
        </is>
      </c>
      <c r="E57" s="10">
        <f>IF(B57="SI", "REGULAR", "PENDIENTE")</f>
        <v/>
      </c>
      <c r="F57" s="10">
        <f>IF(C57="SI", "APROBADO", IF(B57="SI", "ADEUDA FINAL", "ADEUDA"))</f>
        <v/>
      </c>
      <c r="G57" s="11">
        <f>IF(C57="SI", "🟢 Aprobada", IF(B57="SI", "🟡 Regular", "🟣 Pendiente"))</f>
        <v/>
      </c>
    </row>
    <row r="58" ht="20" customHeight="1">
      <c r="A58" s="8" t="inlineStr">
        <is>
          <t>SISTEMA Y Política Educativa (cuatr.)</t>
        </is>
      </c>
      <c r="B58" s="9" t="inlineStr">
        <is>
          <t>NO</t>
        </is>
      </c>
      <c r="C58" s="9" t="inlineStr">
        <is>
          <t>NO</t>
        </is>
      </c>
      <c r="D58" s="10" t="inlineStr">
        <is>
          <t>4° Año</t>
        </is>
      </c>
      <c r="E58" s="10">
        <f>IF(B58="SI", "REGULAR", "PENDIENTE")</f>
        <v/>
      </c>
      <c r="F58" s="10">
        <f>IF(C58="SI", "APROBADO", IF(B58="SI", "ADEUDA FINAL", "ADEUDA"))</f>
        <v/>
      </c>
      <c r="G58" s="11">
        <f>IF(C58="SI", "🟢 Aprobada", IF(B58="SI", "🟡 Regular", "🟣 Pendiente"))</f>
        <v/>
      </c>
    </row>
    <row r="59" ht="22" customHeight="1">
      <c r="A59" s="7" t="inlineStr">
        <is>
          <t>📌 5° AÑO (NIVEL SUPERIOR / TRAMO SUPERIOR)</t>
        </is>
      </c>
    </row>
    <row r="60" ht="20" customHeight="1">
      <c r="A60" s="8" t="inlineStr">
        <is>
          <t>Fonología EN Laboratorio. Y SU Didáctica. II</t>
        </is>
      </c>
      <c r="B60" s="9" t="inlineStr">
        <is>
          <t>NO</t>
        </is>
      </c>
      <c r="C60" s="9" t="inlineStr">
        <is>
          <t>NO</t>
        </is>
      </c>
      <c r="D60" s="10" t="inlineStr">
        <is>
          <t>5° Año (Nivel Superior / Tramo Superior)</t>
        </is>
      </c>
      <c r="E60" s="10">
        <f>IF(B60="SI", "REGULAR", "PENDIENTE")</f>
        <v/>
      </c>
      <c r="F60" s="10">
        <f>IF(C60="SI", "APROBADO", IF(B60="SI", "ADEUDA FINAL", "ADEUDA"))</f>
        <v/>
      </c>
      <c r="G60" s="11">
        <f>IF(C60="SI", "🟢 Aprobada", IF(B60="SI", "🟡 Regular", "🟣 Pendiente"))</f>
        <v/>
      </c>
    </row>
    <row r="61" ht="20" customHeight="1">
      <c r="A61" s="8" t="inlineStr">
        <is>
          <t>LENGUA EXTRANJERA: Francés NIVEL I</t>
        </is>
      </c>
      <c r="B61" s="9" t="inlineStr">
        <is>
          <t>NO</t>
        </is>
      </c>
      <c r="C61" s="9" t="inlineStr">
        <is>
          <t>NO</t>
        </is>
      </c>
      <c r="D61" s="10" t="inlineStr">
        <is>
          <t>5° Año (Nivel Superior / Tramo Superior)</t>
        </is>
      </c>
      <c r="E61" s="10">
        <f>IF(B61="SI", "REGULAR", "PENDIENTE")</f>
        <v/>
      </c>
      <c r="F61" s="10">
        <f>IF(C61="SI", "APROBADO", IF(B61="SI", "ADEUDA FINAL", "ADEUDA"))</f>
        <v/>
      </c>
      <c r="G61" s="11">
        <f>IF(C61="SI", "🟢 Aprobada", IF(B61="SI", "🟡 Regular", "🟣 Pendiente"))</f>
        <v/>
      </c>
    </row>
    <row r="62" ht="20" customHeight="1">
      <c r="A62" s="8" t="inlineStr">
        <is>
          <t>Metod. de la Invest. en Lenguas Extr</t>
        </is>
      </c>
      <c r="B62" s="9" t="inlineStr">
        <is>
          <t>NO</t>
        </is>
      </c>
      <c r="C62" s="9" t="inlineStr">
        <is>
          <t>NO</t>
        </is>
      </c>
      <c r="D62" s="10" t="inlineStr">
        <is>
          <t>5° Año (Nivel Superior / Tramo Superior)</t>
        </is>
      </c>
      <c r="E62" s="10">
        <f>IF(B62="SI", "REGULAR", "PENDIENTE")</f>
        <v/>
      </c>
      <c r="F62" s="10">
        <f>IF(C62="SI", "APROBADO", IF(B62="SI", "ADEUDA FINAL", "ADEUDA"))</f>
        <v/>
      </c>
      <c r="G62" s="11">
        <f>IF(C62="SI", "🟢 Aprobada", IF(B62="SI", "🟡 Regular", "🟣 Pendiente"))</f>
        <v/>
      </c>
    </row>
    <row r="63" ht="22" customHeight="1">
      <c r="A63" s="7" t="inlineStr">
        <is>
          <t>📌 6° AÑO (NIVEL SUPERIOR / TRAMO SUPERIOR)</t>
        </is>
      </c>
    </row>
    <row r="64" ht="20" customHeight="1">
      <c r="A64" s="8" t="inlineStr">
        <is>
          <t>Seminario de Especialización Superior II</t>
        </is>
      </c>
      <c r="B64" s="9" t="inlineStr">
        <is>
          <t>NO</t>
        </is>
      </c>
      <c r="C64" s="9" t="inlineStr">
        <is>
          <t>NO</t>
        </is>
      </c>
      <c r="D64" s="10" t="inlineStr">
        <is>
          <t>6° Año (Nivel Superior / Tramo Superior)</t>
        </is>
      </c>
      <c r="E64" s="10">
        <f>IF(B64="SI", "REGULAR", "PENDIENTE")</f>
        <v/>
      </c>
      <c r="F64" s="10">
        <f>IF(C64="SI", "APROBADO", IF(B64="SI", "ADEUDA FINAL", "ADEUDA"))</f>
        <v/>
      </c>
      <c r="G64" s="11">
        <f>IF(C64="SI", "🟢 Aprobada", IF(B64="SI", "🟡 Regular", "🟣 Pendiente"))</f>
        <v/>
      </c>
    </row>
    <row r="65" ht="20" customHeight="1">
      <c r="A65" s="8" t="inlineStr">
        <is>
          <t>Tesis / Trabajo Final de Licenciatura</t>
        </is>
      </c>
      <c r="B65" s="9" t="inlineStr">
        <is>
          <t>NO</t>
        </is>
      </c>
      <c r="C65" s="9" t="inlineStr">
        <is>
          <t>NO</t>
        </is>
      </c>
      <c r="D65" s="10" t="inlineStr">
        <is>
          <t>6° Año (Nivel Superior / Tramo Superior)</t>
        </is>
      </c>
      <c r="E65" s="10">
        <f>IF(B65="SI", "REGULAR", "PENDIENTE")</f>
        <v/>
      </c>
      <c r="F65" s="10">
        <f>IF(C65="SI", "APROBADO", IF(B65="SI", "ADEUDA FINAL", "ADEUDA"))</f>
        <v/>
      </c>
      <c r="G65" s="11">
        <f>IF(C65="SI", "🟢 Aprobada", IF(B65="SI", "🟡 Regular", "🟣 Pendiente"))</f>
        <v/>
      </c>
    </row>
    <row r="66" ht="20" customHeight="1">
      <c r="A66" s="8" t="inlineStr">
        <is>
          <t>Práctica de Nivel Superior II</t>
        </is>
      </c>
      <c r="B66" s="9" t="inlineStr">
        <is>
          <t>NO</t>
        </is>
      </c>
      <c r="C66" s="9" t="inlineStr">
        <is>
          <t>NO</t>
        </is>
      </c>
      <c r="D66" s="10" t="inlineStr">
        <is>
          <t>6° Año (Nivel Superior / Tramo Superior)</t>
        </is>
      </c>
      <c r="E66" s="10">
        <f>IF(B66="SI", "REGULAR", "PENDIENTE")</f>
        <v/>
      </c>
      <c r="F66" s="10">
        <f>IF(C66="SI", "APROBADO", IF(B66="SI", "ADEUDA FINAL", "ADEUDA"))</f>
        <v/>
      </c>
      <c r="G66" s="11">
        <f>IF(C66="SI", "🟢 Aprobada", IF(B66="SI", "🟡 Regular", "🟣 Pendiente"))</f>
        <v/>
      </c>
    </row>
    <row r="67" ht="20" customHeight="1">
      <c r="A67" s="8" t="inlineStr">
        <is>
          <t>Acreditación de Residencia Superior</t>
        </is>
      </c>
      <c r="B67" s="9" t="inlineStr">
        <is>
          <t>NO</t>
        </is>
      </c>
      <c r="C67" s="9" t="inlineStr">
        <is>
          <t>NO</t>
        </is>
      </c>
      <c r="D67" s="10" t="inlineStr">
        <is>
          <t>6° Año (Nivel Superior / Tramo Superior)</t>
        </is>
      </c>
      <c r="E67" s="10">
        <f>IF(B67="SI", "REGULAR", "PENDIENTE")</f>
        <v/>
      </c>
      <c r="F67" s="10">
        <f>IF(C67="SI", "APROBADO", IF(B67="SI", "ADEUDA FINAL", "ADEUDA"))</f>
        <v/>
      </c>
      <c r="G67" s="11">
        <f>IF(C67="SI", "🟢 Aprobada", IF(B67="SI", "🟡 Regular", "🟣 Pendiente"))</f>
        <v/>
      </c>
    </row>
    <row r="68" ht="22" customHeight="1">
      <c r="A68" s="7" t="inlineStr">
        <is>
          <t>📌 GENERAL / OPTATIVAS</t>
        </is>
      </c>
    </row>
    <row r="69" ht="20" customHeight="1">
      <c r="A69" s="8" t="inlineStr">
        <is>
          <t>El Uso de la Voz en el Aula</t>
        </is>
      </c>
      <c r="B69" s="9" t="inlineStr">
        <is>
          <t>NO</t>
        </is>
      </c>
      <c r="C69" s="9" t="inlineStr">
        <is>
          <t>NO</t>
        </is>
      </c>
      <c r="D69" s="10" t="inlineStr">
        <is>
          <t>General / Optativas</t>
        </is>
      </c>
      <c r="E69" s="10">
        <f>IF(B69="SI", "REGULAR", "PENDIENTE")</f>
        <v/>
      </c>
      <c r="F69" s="10">
        <f>IF(C69="SI", "APROBADO", IF(B69="SI", "ADEUDA FINAL", "ADEUDA"))</f>
        <v/>
      </c>
      <c r="G69" s="11">
        <f>IF(C69="SI", "🟢 Aprobada", IF(B69="SI", "🟡 Regular", "🟣 Pendiente"))</f>
        <v/>
      </c>
    </row>
    <row r="70" ht="20" customHeight="1">
      <c r="A70" s="8" t="inlineStr">
        <is>
          <t>Fonología EN Laboratorio. Y SU Didáctica. I</t>
        </is>
      </c>
      <c r="B70" s="9" t="inlineStr">
        <is>
          <t>NO</t>
        </is>
      </c>
      <c r="C70" s="9" t="inlineStr">
        <is>
          <t>NO</t>
        </is>
      </c>
      <c r="D70" s="10" t="inlineStr">
        <is>
          <t>General / Optativas</t>
        </is>
      </c>
      <c r="E70" s="10">
        <f>IF(B70="SI", "REGULAR", "PENDIENTE")</f>
        <v/>
      </c>
      <c r="F70" s="10">
        <f>IF(C70="SI", "APROBADO", IF(B70="SI", "ADEUDA FINAL", "ADEUDA"))</f>
        <v/>
      </c>
      <c r="G70" s="11">
        <f>IF(C70="SI", "🟢 Aprobada", IF(B70="SI", "🟡 Regular", "🟣 Pendiente"))</f>
        <v/>
      </c>
    </row>
    <row r="71" ht="20" customHeight="1">
      <c r="A71" s="8" t="inlineStr">
        <is>
          <t>Geografía DE LAS ISLAS Británicas</t>
        </is>
      </c>
      <c r="B71" s="9" t="inlineStr">
        <is>
          <t>NO</t>
        </is>
      </c>
      <c r="C71" s="9" t="inlineStr">
        <is>
          <t>NO</t>
        </is>
      </c>
      <c r="D71" s="10" t="inlineStr">
        <is>
          <t>General / Optativas</t>
        </is>
      </c>
      <c r="E71" s="10">
        <f>IF(B71="SI", "REGULAR", "PENDIENTE")</f>
        <v/>
      </c>
      <c r="F71" s="10">
        <f>IF(C71="SI", "APROBADO", IF(B71="SI", "ADEUDA FINAL", "ADEUDA"))</f>
        <v/>
      </c>
      <c r="G71" s="11">
        <f>IF(C71="SI", "🟢 Aprobada", IF(B71="SI", "🟡 Regular", "🟣 Pendiente"))</f>
        <v/>
      </c>
    </row>
    <row r="72" ht="20" customHeight="1">
      <c r="A72" s="8" t="inlineStr">
        <is>
          <t>Lectura Escritura y Oralidad I</t>
        </is>
      </c>
      <c r="B72" s="9" t="inlineStr">
        <is>
          <t>NO</t>
        </is>
      </c>
      <c r="C72" s="9" t="inlineStr">
        <is>
          <t>NO</t>
        </is>
      </c>
      <c r="D72" s="10" t="inlineStr">
        <is>
          <t>General / Optativas</t>
        </is>
      </c>
      <c r="E72" s="10">
        <f>IF(B72="SI", "REGULAR", "PENDIENTE")</f>
        <v/>
      </c>
      <c r="F72" s="10">
        <f>IF(C72="SI", "APROBADO", IF(B72="SI", "ADEUDA FINAL", "ADEUDA"))</f>
        <v/>
      </c>
      <c r="G72" s="11">
        <f>IF(C72="SI", "🟢 Aprobada", IF(B72="SI", "🟡 Regular", "🟣 Pendiente"))</f>
        <v/>
      </c>
    </row>
    <row r="73" ht="20" customHeight="1">
      <c r="A73" s="8" t="inlineStr">
        <is>
          <t>LENGUA EXTRANJERA NIVEL I - Francés</t>
        </is>
      </c>
      <c r="B73" s="9" t="inlineStr">
        <is>
          <t>NO</t>
        </is>
      </c>
      <c r="C73" s="9" t="inlineStr">
        <is>
          <t>NO</t>
        </is>
      </c>
      <c r="D73" s="10" t="inlineStr">
        <is>
          <t>General / Optativas</t>
        </is>
      </c>
      <c r="E73" s="10">
        <f>IF(B73="SI", "REGULAR", "PENDIENTE")</f>
        <v/>
      </c>
      <c r="F73" s="10">
        <f>IF(C73="SI", "APROBADO", IF(B73="SI", "ADEUDA FINAL", "ADEUDA"))</f>
        <v/>
      </c>
      <c r="G73" s="11">
        <f>IF(C73="SI", "🟢 Aprobada", IF(B73="SI", "🟡 Regular", "🟣 Pendiente"))</f>
        <v/>
      </c>
    </row>
    <row r="74" ht="20" customHeight="1">
      <c r="A74" s="8" t="inlineStr">
        <is>
          <t>Redaccion del Discurso Academico</t>
        </is>
      </c>
      <c r="B74" s="9" t="inlineStr">
        <is>
          <t>NO</t>
        </is>
      </c>
      <c r="C74" s="9" t="inlineStr">
        <is>
          <t>NO</t>
        </is>
      </c>
      <c r="D74" s="10" t="inlineStr">
        <is>
          <t>General / Optativas</t>
        </is>
      </c>
      <c r="E74" s="10">
        <f>IF(B74="SI", "REGULAR", "PENDIENTE")</f>
        <v/>
      </c>
      <c r="F74" s="10">
        <f>IF(C74="SI", "APROBADO", IF(B74="SI", "ADEUDA FINAL", "ADEUDA"))</f>
        <v/>
      </c>
      <c r="G74" s="11">
        <f>IF(C74="SI", "🟢 Aprobada", IF(B74="SI", "🟡 Regular", "🟣 Pendiente"))</f>
        <v/>
      </c>
    </row>
    <row r="75" ht="20" customHeight="1">
      <c r="A75" s="8" t="inlineStr">
        <is>
          <t>SISTEMA Y Política Educativa</t>
        </is>
      </c>
      <c r="B75" s="9" t="inlineStr">
        <is>
          <t>NO</t>
        </is>
      </c>
      <c r="C75" s="9" t="inlineStr">
        <is>
          <t>NO</t>
        </is>
      </c>
      <c r="D75" s="10" t="inlineStr">
        <is>
          <t>General / Optativas</t>
        </is>
      </c>
      <c r="E75" s="10">
        <f>IF(B75="SI", "REGULAR", "PENDIENTE")</f>
        <v/>
      </c>
      <c r="F75" s="10">
        <f>IF(C75="SI", "APROBADO", IF(B75="SI", "ADEUDA FINAL", "ADEUDA"))</f>
        <v/>
      </c>
      <c r="G75" s="11">
        <f>IF(C75="SI", "🟢 Aprobada", IF(B75="SI", "🟡 Regular", "🟣 Pendiente"))</f>
        <v/>
      </c>
    </row>
  </sheetData>
  <mergeCells count="17">
    <mergeCell ref="I14:J14"/>
    <mergeCell ref="I12:J12"/>
    <mergeCell ref="A1:G1"/>
    <mergeCell ref="I15:J15"/>
    <mergeCell ref="I10:J10"/>
    <mergeCell ref="A22:G22"/>
    <mergeCell ref="A63:G63"/>
    <mergeCell ref="A35:G35"/>
    <mergeCell ref="I1:K1"/>
    <mergeCell ref="I11:J11"/>
    <mergeCell ref="A2:G2"/>
    <mergeCell ref="A59:G59"/>
    <mergeCell ref="I13:J13"/>
    <mergeCell ref="A68:G68"/>
    <mergeCell ref="A49:G49"/>
    <mergeCell ref="I9:J9"/>
    <mergeCell ref="A5:G5"/>
  </mergeCells>
  <dataValidations count="1">
    <dataValidation sqref="B6 B7 B8 B9 B10 B11 B12 B13 B14 B15 B16 B17 B18 B19 B20 B21 B23 B24 B25 B26 B27 B28 B29 B30 B31 B32 B33 B34 B36 B37 B38 B39 B40 B41 B42 B43 B44 B45 B46 B47 B48 B50 B51 B52 B53 B54 B55 B56 B57 B58 B60 B61 B62 B64 B65 B66 B67 B69 B70 B71 B72 B73 B74 B75 C6 C7 C8 C9 C10 C11 C12 C13 C14 C15 C16 C17 C18 C19 C20 C21 C23 C24 C25 C26 C27 C28 C29 C30 C31 C32 C33 C34 C36 C37 C38 C39 C40 C41 C42 C43 C44 C45 C46 C47 C48 C50 C51 C52 C53 C54 C55 C56 C57 C58 C60 C61 C62 C64 C65 C66 C67 C69 C70 C71 C72 C73 C74 C75"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