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4"/>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INGLÉS</t>
        </is>
      </c>
      <c r="I1" s="2" t="inlineStr">
        <is>
          <t>CONTROL DE TRAYECTORIA</t>
        </is>
      </c>
    </row>
    <row r="2" ht="22" customHeight="1">
      <c r="A2" s="3" t="inlineStr">
        <is>
          <t>La Caravana + Estudiantes Independientes | Altillo JVG - ISP Joaquín V. González</t>
        </is>
      </c>
      <c r="I2" s="4" t="inlineStr">
        <is>
          <t>Total de Materias del Plan</t>
        </is>
      </c>
      <c r="J2" s="5" t="n">
        <v>65</v>
      </c>
    </row>
    <row r="3" ht="22" customHeight="1">
      <c r="I3" s="4" t="inlineStr">
        <is>
          <t>Materias con Cursada Regular</t>
        </is>
      </c>
      <c r="J3" s="5">
        <f>COUNTIF(B6:B74,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COUNTIF(C6:C74, "SI")</f>
        <v/>
      </c>
    </row>
    <row r="5" ht="22" customHeight="1">
      <c r="A5" s="7" t="inlineStr">
        <is>
          <t>📌 1° AÑO</t>
        </is>
      </c>
      <c r="I5" s="4" t="inlineStr">
        <is>
          <t>Finales Adeudados</t>
        </is>
      </c>
      <c r="J5" s="5">
        <f>COUNTIF(F6:F74, "ADEUDA FINAL")</f>
        <v/>
      </c>
    </row>
    <row r="6" ht="22" customHeight="1">
      <c r="A6" s="8" t="inlineStr">
        <is>
          <t>Lengua Inglesa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COUNTIF(B6:B74, "SI")/65</f>
        <v/>
      </c>
    </row>
    <row r="7" ht="22" customHeight="1">
      <c r="A7" s="8" t="inlineStr">
        <is>
          <t>Gramática Inglesa I</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COUNTIF(C6:C74, "SI")/65</f>
        <v/>
      </c>
    </row>
    <row r="8" ht="20" customHeight="1">
      <c r="A8" s="8" t="inlineStr">
        <is>
          <t>Fonética y Fonología I</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Prácticas en el Laboratorio de Idiomas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Geografía y Cultura de las Islas Británicas</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Geografía y Cultura de los EEUU y Otros Pueblos de Habla Inglesa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Leo</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Psicología Educacional</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Sujetos de Nivel</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Pedagogía</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Trabajo de campo I</t>
        </is>
      </c>
      <c r="B16" s="9" t="inlineStr">
        <is>
          <t>NO</t>
        </is>
      </c>
      <c r="C16" s="9" t="inlineStr">
        <is>
          <t>NO</t>
        </is>
      </c>
      <c r="D16" s="10" t="inlineStr">
        <is>
          <t>1° Año</t>
        </is>
      </c>
      <c r="E16" s="10">
        <f>IF(B16="SI", "REGULAR", "PENDIENTE")</f>
        <v/>
      </c>
      <c r="F16" s="10">
        <f>IF(C16="SI", "APROBADO", IF(B16="SI", "ADEUDA FINAL", "ADEUDA"))</f>
        <v/>
      </c>
      <c r="G16" s="11">
        <f>IF(C16="SI", "🟢 Aprobada", IF(B16="SI", "🟡 Regular", "🟣 Pendiente"))</f>
        <v/>
      </c>
    </row>
    <row r="17" ht="22" customHeight="1">
      <c r="A17" s="7" t="inlineStr">
        <is>
          <t>📌 2° AÑO</t>
        </is>
      </c>
    </row>
    <row r="18" ht="20" customHeight="1">
      <c r="A18" s="8" t="inlineStr">
        <is>
          <t>Lengua Inglesa II</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Gramática Inglesa II</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Fonética y Fonología II</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Prácticas en el Laboratorio de Idiomas II</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Historia de la Civilización Inglesa I</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Literatura Inglesa I</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Didáctica General</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Análisis del Discurso</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0" customHeight="1">
      <c r="A26" s="8" t="inlineStr">
        <is>
          <t>Trabajo de Campo II</t>
        </is>
      </c>
      <c r="B26" s="9" t="inlineStr">
        <is>
          <t>NO</t>
        </is>
      </c>
      <c r="C26" s="9" t="inlineStr">
        <is>
          <t>NO</t>
        </is>
      </c>
      <c r="D26" s="10" t="inlineStr">
        <is>
          <t>2° Año</t>
        </is>
      </c>
      <c r="E26" s="10">
        <f>IF(B26="SI", "REGULAR", "PENDIENTE")</f>
        <v/>
      </c>
      <c r="F26" s="10">
        <f>IF(C26="SI", "APROBADO", IF(B26="SI", "ADEUDA FINAL", "ADEUDA"))</f>
        <v/>
      </c>
      <c r="G26" s="11">
        <f>IF(C26="SI", "🟢 Aprobada", IF(B26="SI", "🟡 Regular", "🟣 Pendiente"))</f>
        <v/>
      </c>
    </row>
    <row r="27" ht="20" customHeight="1">
      <c r="A27" s="8" t="inlineStr">
        <is>
          <t>Construcción de la Práctica Docente en los Niveles Inicial y Primario I</t>
        </is>
      </c>
      <c r="B27" s="9" t="inlineStr">
        <is>
          <t>NO</t>
        </is>
      </c>
      <c r="C27" s="9" t="inlineStr">
        <is>
          <t>NO</t>
        </is>
      </c>
      <c r="D27" s="10" t="inlineStr">
        <is>
          <t>2° Año</t>
        </is>
      </c>
      <c r="E27" s="10">
        <f>IF(B27="SI", "REGULAR", "PENDIENTE")</f>
        <v/>
      </c>
      <c r="F27" s="10">
        <f>IF(C27="SI", "APROBADO", IF(B27="SI", "ADEUDA FINAL", "ADEUDA"))</f>
        <v/>
      </c>
      <c r="G27" s="11">
        <f>IF(C27="SI", "🟢 Aprobada", IF(B27="SI", "🟡 Regular", "🟣 Pendiente"))</f>
        <v/>
      </c>
    </row>
    <row r="28" ht="22" customHeight="1">
      <c r="A28" s="7" t="inlineStr">
        <is>
          <t>📌 3° AÑO</t>
        </is>
      </c>
    </row>
    <row r="29" ht="20" customHeight="1">
      <c r="A29" s="8" t="inlineStr">
        <is>
          <t>Lengua Inglesa III</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Fonología en Laboratorio y Su Didáctica I</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Historia de la Civilización Inglesa II</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Literatura Inglesa II</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Historia Norteamericana</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Filosofía</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0" customHeight="1">
      <c r="A35" s="8" t="inlineStr">
        <is>
          <t>Adquisición de la Lengua Materna y Extranjera</t>
        </is>
      </c>
      <c r="B35" s="9" t="inlineStr">
        <is>
          <t>NO</t>
        </is>
      </c>
      <c r="C35" s="9" t="inlineStr">
        <is>
          <t>NO</t>
        </is>
      </c>
      <c r="D35" s="10" t="inlineStr">
        <is>
          <t>3° Año</t>
        </is>
      </c>
      <c r="E35" s="10">
        <f>IF(B35="SI", "REGULAR", "PENDIENTE")</f>
        <v/>
      </c>
      <c r="F35" s="10">
        <f>IF(C35="SI", "APROBADO", IF(B35="SI", "ADEUDA FINAL", "ADEUDA"))</f>
        <v/>
      </c>
      <c r="G35" s="11">
        <f>IF(C35="SI", "🟢 Aprobada", IF(B35="SI", "🟡 Regular", "🟣 Pendiente"))</f>
        <v/>
      </c>
    </row>
    <row r="36" ht="20" customHeight="1">
      <c r="A36" s="8" t="inlineStr">
        <is>
          <t>Construcción de la Práctica Docente en el Nivel medio I</t>
        </is>
      </c>
      <c r="B36" s="9" t="inlineStr">
        <is>
          <t>NO</t>
        </is>
      </c>
      <c r="C36" s="9" t="inlineStr">
        <is>
          <t>NO</t>
        </is>
      </c>
      <c r="D36" s="10" t="inlineStr">
        <is>
          <t>3° Año</t>
        </is>
      </c>
      <c r="E36" s="10">
        <f>IF(B36="SI", "REGULAR", "PENDIENTE")</f>
        <v/>
      </c>
      <c r="F36" s="10">
        <f>IF(C36="SI", "APROBADO", IF(B36="SI", "ADEUDA FINAL", "ADEUDA"))</f>
        <v/>
      </c>
      <c r="G36" s="11">
        <f>IF(C36="SI", "🟢 Aprobada", IF(B36="SI", "🟡 Regular", "🟣 Pendiente"))</f>
        <v/>
      </c>
    </row>
    <row r="37" ht="20" customHeight="1">
      <c r="A37" s="8" t="inlineStr">
        <is>
          <t>Esi</t>
        </is>
      </c>
      <c r="B37" s="9" t="inlineStr">
        <is>
          <t>NO</t>
        </is>
      </c>
      <c r="C37" s="9" t="inlineStr">
        <is>
          <t>NO</t>
        </is>
      </c>
      <c r="D37" s="10" t="inlineStr">
        <is>
          <t>3° Año</t>
        </is>
      </c>
      <c r="E37" s="10">
        <f>IF(B37="SI", "REGULAR", "PENDIENTE")</f>
        <v/>
      </c>
      <c r="F37" s="10">
        <f>IF(C37="SI", "APROBADO", IF(B37="SI", "ADEUDA FINAL", "ADEUDA"))</f>
        <v/>
      </c>
      <c r="G37" s="11">
        <f>IF(C37="SI", "🟢 Aprobada", IF(B37="SI", "🟡 Regular", "🟣 Pendiente"))</f>
        <v/>
      </c>
    </row>
    <row r="38" ht="20" customHeight="1">
      <c r="A38" s="8" t="inlineStr">
        <is>
          <t>Construcción de la Práctica docente en los Niveles Inicial y Primario II y Residencia</t>
        </is>
      </c>
      <c r="B38" s="9" t="inlineStr">
        <is>
          <t>NO</t>
        </is>
      </c>
      <c r="C38" s="9" t="inlineStr">
        <is>
          <t>NO</t>
        </is>
      </c>
      <c r="D38" s="10" t="inlineStr">
        <is>
          <t>3° Año</t>
        </is>
      </c>
      <c r="E38" s="10">
        <f>IF(B38="SI", "REGULAR", "PENDIENTE")</f>
        <v/>
      </c>
      <c r="F38" s="10">
        <f>IF(C38="SI", "APROBADO", IF(B38="SI", "ADEUDA FINAL", "ADEUDA"))</f>
        <v/>
      </c>
      <c r="G38" s="11">
        <f>IF(C38="SI", "🟢 Aprobada", IF(B38="SI", "🟡 Regular", "🟣 Pendiente"))</f>
        <v/>
      </c>
    </row>
    <row r="39" ht="20" customHeight="1">
      <c r="A39" s="8" t="inlineStr">
        <is>
          <t>Introducción a la Lingüística</t>
        </is>
      </c>
      <c r="B39" s="9" t="inlineStr">
        <is>
          <t>NO</t>
        </is>
      </c>
      <c r="C39" s="9" t="inlineStr">
        <is>
          <t>NO</t>
        </is>
      </c>
      <c r="D39" s="10" t="inlineStr">
        <is>
          <t>3° Año</t>
        </is>
      </c>
      <c r="E39" s="10">
        <f>IF(B39="SI", "REGULAR", "PENDIENTE")</f>
        <v/>
      </c>
      <c r="F39" s="10">
        <f>IF(C39="SI", "APROBADO", IF(B39="SI", "ADEUDA FINAL", "ADEUDA"))</f>
        <v/>
      </c>
      <c r="G39" s="11">
        <f>IF(C39="SI", "🟢 Aprobada", IF(B39="SI", "🟡 Regular", "🟣 Pendiente"))</f>
        <v/>
      </c>
    </row>
    <row r="40" ht="22" customHeight="1">
      <c r="A40" s="7" t="inlineStr">
        <is>
          <t>📌 4° AÑO</t>
        </is>
      </c>
    </row>
    <row r="41" ht="20" customHeight="1">
      <c r="A41" s="8" t="inlineStr">
        <is>
          <t>Lengua Inglesa IV</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Literatura Inglesa III</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Literatura Contemporánea en Lengua Inglesa</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0" customHeight="1">
      <c r="A44" s="8" t="inlineStr">
        <is>
          <t>Fonología en Laboratorio y su Didáctica II</t>
        </is>
      </c>
      <c r="B44" s="9" t="inlineStr">
        <is>
          <t>NO</t>
        </is>
      </c>
      <c r="C44" s="9" t="inlineStr">
        <is>
          <t>NO</t>
        </is>
      </c>
      <c r="D44" s="10" t="inlineStr">
        <is>
          <t>4° Año</t>
        </is>
      </c>
      <c r="E44" s="10">
        <f>IF(B44="SI", "REGULAR", "PENDIENTE")</f>
        <v/>
      </c>
      <c r="F44" s="10">
        <f>IF(C44="SI", "APROBADO", IF(B44="SI", "ADEUDA FINAL", "ADEUDA"))</f>
        <v/>
      </c>
      <c r="G44" s="11">
        <f>IF(C44="SI", "🟢 Aprobada", IF(B44="SI", "🟡 Regular", "🟣 Pendiente"))</f>
        <v/>
      </c>
    </row>
    <row r="45" ht="20" customHeight="1">
      <c r="A45" s="8" t="inlineStr">
        <is>
          <t>Literatura Norteamericana</t>
        </is>
      </c>
      <c r="B45" s="9" t="inlineStr">
        <is>
          <t>NO</t>
        </is>
      </c>
      <c r="C45" s="9" t="inlineStr">
        <is>
          <t>NO</t>
        </is>
      </c>
      <c r="D45" s="10" t="inlineStr">
        <is>
          <t>4° Año</t>
        </is>
      </c>
      <c r="E45" s="10">
        <f>IF(B45="SI", "REGULAR", "PENDIENTE")</f>
        <v/>
      </c>
      <c r="F45" s="10">
        <f>IF(C45="SI", "APROBADO", IF(B45="SI", "ADEUDA FINAL", "ADEUDA"))</f>
        <v/>
      </c>
      <c r="G45" s="11">
        <f>IF(C45="SI", "🟢 Aprobada", IF(B45="SI", "🟡 Regular", "🟣 Pendiente"))</f>
        <v/>
      </c>
    </row>
    <row r="46" ht="20" customHeight="1">
      <c r="A46" s="8" t="inlineStr">
        <is>
          <t>Historia de la Educación Argentina</t>
        </is>
      </c>
      <c r="B46" s="9" t="inlineStr">
        <is>
          <t>NO</t>
        </is>
      </c>
      <c r="C46" s="9" t="inlineStr">
        <is>
          <t>NO</t>
        </is>
      </c>
      <c r="D46" s="10" t="inlineStr">
        <is>
          <t>4° Año</t>
        </is>
      </c>
      <c r="E46" s="10">
        <f>IF(B46="SI", "REGULAR", "PENDIENTE")</f>
        <v/>
      </c>
      <c r="F46" s="10">
        <f>IF(C46="SI", "APROBADO", IF(B46="SI", "ADEUDA FINAL", "ADEUDA"))</f>
        <v/>
      </c>
      <c r="G46" s="11">
        <f>IF(C46="SI", "🟢 Aprobada", IF(B46="SI", "🟡 Regular", "🟣 Pendiente"))</f>
        <v/>
      </c>
    </row>
    <row r="47" ht="20" customHeight="1">
      <c r="A47" s="8" t="inlineStr">
        <is>
          <t>Sistema y Política Educativa</t>
        </is>
      </c>
      <c r="B47" s="9" t="inlineStr">
        <is>
          <t>NO</t>
        </is>
      </c>
      <c r="C47" s="9" t="inlineStr">
        <is>
          <t>NO</t>
        </is>
      </c>
      <c r="D47" s="10" t="inlineStr">
        <is>
          <t>4° Año</t>
        </is>
      </c>
      <c r="E47" s="10">
        <f>IF(B47="SI", "REGULAR", "PENDIENTE")</f>
        <v/>
      </c>
      <c r="F47" s="10">
        <f>IF(C47="SI", "APROBADO", IF(B47="SI", "ADEUDA FINAL", "ADEUDA"))</f>
        <v/>
      </c>
      <c r="G47" s="11">
        <f>IF(C47="SI", "🟢 Aprobada", IF(B47="SI", "🟡 Regular", "🟣 Pendiente"))</f>
        <v/>
      </c>
    </row>
    <row r="48" ht="20" customHeight="1">
      <c r="A48" s="8" t="inlineStr">
        <is>
          <t>DDHH, Sociedad y Estado</t>
        </is>
      </c>
      <c r="B48" s="9" t="inlineStr">
        <is>
          <t>NO</t>
        </is>
      </c>
      <c r="C48" s="9" t="inlineStr">
        <is>
          <t>NO</t>
        </is>
      </c>
      <c r="D48" s="10" t="inlineStr">
        <is>
          <t>4° Año</t>
        </is>
      </c>
      <c r="E48" s="10">
        <f>IF(B48="SI", "REGULAR", "PENDIENTE")</f>
        <v/>
      </c>
      <c r="F48" s="10">
        <f>IF(C48="SI", "APROBADO", IF(B48="SI", "ADEUDA FINAL", "ADEUDA"))</f>
        <v/>
      </c>
      <c r="G48" s="11">
        <f>IF(C48="SI", "🟢 Aprobada", IF(B48="SI", "🟡 Regular", "🟣 Pendiente"))</f>
        <v/>
      </c>
    </row>
    <row r="49" ht="20" customHeight="1">
      <c r="A49" s="8" t="inlineStr">
        <is>
          <t>Construcción de la Práctica Docente en el Nivel Medio II y Residencia</t>
        </is>
      </c>
      <c r="B49" s="9" t="inlineStr">
        <is>
          <t>NO</t>
        </is>
      </c>
      <c r="C49" s="9" t="inlineStr">
        <is>
          <t>NO</t>
        </is>
      </c>
      <c r="D49" s="10" t="inlineStr">
        <is>
          <t>4° Año</t>
        </is>
      </c>
      <c r="E49" s="10">
        <f>IF(B49="SI", "REGULAR", "PENDIENTE")</f>
        <v/>
      </c>
      <c r="F49" s="10">
        <f>IF(C49="SI", "APROBADO", IF(B49="SI", "ADEUDA FINAL", "ADEUDA"))</f>
        <v/>
      </c>
      <c r="G49" s="11">
        <f>IF(C49="SI", "🟢 Aprobada", IF(B49="SI", "🟡 Regular", "🟣 Pendiente"))</f>
        <v/>
      </c>
    </row>
    <row r="50" ht="22" customHeight="1">
      <c r="A50" s="7" t="inlineStr">
        <is>
          <t>📌 5° AÑO</t>
        </is>
      </c>
    </row>
    <row r="51" ht="20" customHeight="1">
      <c r="A51" s="8" t="inlineStr">
        <is>
          <t>Metodología de la Investigación en Lenguas Extranjeras</t>
        </is>
      </c>
      <c r="B51" s="9" t="inlineStr">
        <is>
          <t>NO</t>
        </is>
      </c>
      <c r="C51" s="9" t="inlineStr">
        <is>
          <t>NO</t>
        </is>
      </c>
      <c r="D51" s="10" t="inlineStr">
        <is>
          <t>5° Año</t>
        </is>
      </c>
      <c r="E51" s="10">
        <f>IF(B51="SI", "REGULAR", "PENDIENTE")</f>
        <v/>
      </c>
      <c r="F51" s="10">
        <f>IF(C51="SI", "APROBADO", IF(B51="SI", "ADEUDA FINAL", "ADEUDA"))</f>
        <v/>
      </c>
      <c r="G51" s="11">
        <f>IF(C51="SI", "🟢 Aprobada", IF(B51="SI", "🟡 Regular", "🟣 Pendiente"))</f>
        <v/>
      </c>
    </row>
    <row r="52" ht="20" customHeight="1">
      <c r="A52" s="8" t="inlineStr">
        <is>
          <t>Escritura Académica</t>
        </is>
      </c>
      <c r="B52" s="9" t="inlineStr">
        <is>
          <t>NO</t>
        </is>
      </c>
      <c r="C52" s="9" t="inlineStr">
        <is>
          <t>NO</t>
        </is>
      </c>
      <c r="D52" s="10" t="inlineStr">
        <is>
          <t>5° Año</t>
        </is>
      </c>
      <c r="E52" s="10">
        <f>IF(B52="SI", "REGULAR", "PENDIENTE")</f>
        <v/>
      </c>
      <c r="F52" s="10">
        <f>IF(C52="SI", "APROBADO", IF(B52="SI", "ADEUDA FINAL", "ADEUDA"))</f>
        <v/>
      </c>
      <c r="G52" s="11">
        <f>IF(C52="SI", "🟢 Aprobada", IF(B52="SI", "🟡 Regular", "🟣 Pendiente"))</f>
        <v/>
      </c>
    </row>
    <row r="53" ht="20" customHeight="1">
      <c r="A53" s="8" t="inlineStr">
        <is>
          <t>Construcción de la Práctica Docente en el Nivel Superior y Residencia</t>
        </is>
      </c>
      <c r="B53" s="9" t="inlineStr">
        <is>
          <t>NO</t>
        </is>
      </c>
      <c r="C53" s="9" t="inlineStr">
        <is>
          <t>NO</t>
        </is>
      </c>
      <c r="D53" s="10" t="inlineStr">
        <is>
          <t>5° Año</t>
        </is>
      </c>
      <c r="E53" s="10">
        <f>IF(B53="SI", "REGULAR", "PENDIENTE")</f>
        <v/>
      </c>
      <c r="F53" s="10">
        <f>IF(C53="SI", "APROBADO", IF(B53="SI", "ADEUDA FINAL", "ADEUDA"))</f>
        <v/>
      </c>
      <c r="G53" s="11">
        <f>IF(C53="SI", "🟢 Aprobada", IF(B53="SI", "🟡 Regular", "🟣 Pendiente"))</f>
        <v/>
      </c>
    </row>
    <row r="54" ht="20" customHeight="1">
      <c r="A54" s="8" t="inlineStr">
        <is>
          <t>Lengua Extranjera Nivel I</t>
        </is>
      </c>
      <c r="B54" s="9" t="inlineStr">
        <is>
          <t>NO</t>
        </is>
      </c>
      <c r="C54" s="9" t="inlineStr">
        <is>
          <t>NO</t>
        </is>
      </c>
      <c r="D54" s="10" t="inlineStr">
        <is>
          <t>5° Año</t>
        </is>
      </c>
      <c r="E54" s="10">
        <f>IF(B54="SI", "REGULAR", "PENDIENTE")</f>
        <v/>
      </c>
      <c r="F54" s="10">
        <f>IF(C54="SI", "APROBADO", IF(B54="SI", "ADEUDA FINAL", "ADEUDA"))</f>
        <v/>
      </c>
      <c r="G54" s="11">
        <f>IF(C54="SI", "🟢 Aprobada", IF(B54="SI", "🟡 Regular", "🟣 Pendiente"))</f>
        <v/>
      </c>
    </row>
    <row r="55" ht="20" customHeight="1">
      <c r="A55" s="8" t="inlineStr">
        <is>
          <t>Lengua Extranjera Nivel II</t>
        </is>
      </c>
      <c r="B55" s="9" t="inlineStr">
        <is>
          <t>NO</t>
        </is>
      </c>
      <c r="C55" s="9" t="inlineStr">
        <is>
          <t>NO</t>
        </is>
      </c>
      <c r="D55" s="10" t="inlineStr">
        <is>
          <t>5° Año</t>
        </is>
      </c>
      <c r="E55" s="10">
        <f>IF(B55="SI", "REGULAR", "PENDIENTE")</f>
        <v/>
      </c>
      <c r="F55" s="10">
        <f>IF(C55="SI", "APROBADO", IF(B55="SI", "ADEUDA FINAL", "ADEUDA"))</f>
        <v/>
      </c>
      <c r="G55" s="11">
        <f>IF(C55="SI", "🟢 Aprobada", IF(B55="SI", "🟡 Regular", "🟣 Pendiente"))</f>
        <v/>
      </c>
    </row>
    <row r="56" ht="20" customHeight="1">
      <c r="A56" s="8" t="inlineStr">
        <is>
          <t>Prerrequisitos</t>
        </is>
      </c>
      <c r="B56" s="9" t="inlineStr">
        <is>
          <t>NO</t>
        </is>
      </c>
      <c r="C56" s="9" t="inlineStr">
        <is>
          <t>NO</t>
        </is>
      </c>
      <c r="D56" s="10" t="inlineStr">
        <is>
          <t>5° Año</t>
        </is>
      </c>
      <c r="E56" s="10">
        <f>IF(B56="SI", "REGULAR", "PENDIENTE")</f>
        <v/>
      </c>
      <c r="F56" s="10">
        <f>IF(C56="SI", "APROBADO", IF(B56="SI", "ADEUDA FINAL", "ADEUDA"))</f>
        <v/>
      </c>
      <c r="G56" s="11">
        <f>IF(C56="SI", "🟢 Aprobada", IF(B56="SI", "🟡 Regular", "🟣 Pendiente"))</f>
        <v/>
      </c>
    </row>
    <row r="57" ht="20" customHeight="1">
      <c r="A57" s="8" t="inlineStr">
        <is>
          <t>Nuevas Tecnologías</t>
        </is>
      </c>
      <c r="B57" s="9" t="inlineStr">
        <is>
          <t>NO</t>
        </is>
      </c>
      <c r="C57" s="9" t="inlineStr">
        <is>
          <t>NO</t>
        </is>
      </c>
      <c r="D57" s="10" t="inlineStr">
        <is>
          <t>5° Año</t>
        </is>
      </c>
      <c r="E57" s="10">
        <f>IF(B57="SI", "REGULAR", "PENDIENTE")</f>
        <v/>
      </c>
      <c r="F57" s="10">
        <f>IF(C57="SI", "APROBADO", IF(B57="SI", "ADEUDA FINAL", "ADEUDA"))</f>
        <v/>
      </c>
      <c r="G57" s="11">
        <f>IF(C57="SI", "🟢 Aprobada", IF(B57="SI", "🟡 Regular", "🟣 Pendiente"))</f>
        <v/>
      </c>
    </row>
    <row r="58" ht="20" customHeight="1">
      <c r="A58" s="8" t="inlineStr">
        <is>
          <t>Taller formativo docente I</t>
        </is>
      </c>
      <c r="B58" s="9" t="inlineStr">
        <is>
          <t>NO</t>
        </is>
      </c>
      <c r="C58" s="9" t="inlineStr">
        <is>
          <t>NO</t>
        </is>
      </c>
      <c r="D58" s="10" t="inlineStr">
        <is>
          <t>5° Año</t>
        </is>
      </c>
      <c r="E58" s="10">
        <f>IF(B58="SI", "REGULAR", "PENDIENTE")</f>
        <v/>
      </c>
      <c r="F58" s="10">
        <f>IF(C58="SI", "APROBADO", IF(B58="SI", "ADEUDA FINAL", "ADEUDA"))</f>
        <v/>
      </c>
      <c r="G58" s="11">
        <f>IF(C58="SI", "🟢 Aprobada", IF(B58="SI", "🟡 Regular", "🟣 Pendiente"))</f>
        <v/>
      </c>
    </row>
    <row r="59" ht="20" customHeight="1">
      <c r="A59" s="8" t="inlineStr">
        <is>
          <t>El Texto Literario en el Aula</t>
        </is>
      </c>
      <c r="B59" s="9" t="inlineStr">
        <is>
          <t>NO</t>
        </is>
      </c>
      <c r="C59" s="9" t="inlineStr">
        <is>
          <t>NO</t>
        </is>
      </c>
      <c r="D59" s="10" t="inlineStr">
        <is>
          <t>5° Año</t>
        </is>
      </c>
      <c r="E59" s="10">
        <f>IF(B59="SI", "REGULAR", "PENDIENTE")</f>
        <v/>
      </c>
      <c r="F59" s="10">
        <f>IF(C59="SI", "APROBADO", IF(B59="SI", "ADEUDA FINAL", "ADEUDA"))</f>
        <v/>
      </c>
      <c r="G59" s="11">
        <f>IF(C59="SI", "🟢 Aprobada", IF(B59="SI", "🟡 Regular", "🟣 Pendiente"))</f>
        <v/>
      </c>
    </row>
    <row r="60" ht="20" customHeight="1">
      <c r="A60" s="8" t="inlineStr">
        <is>
          <t>Saberes Lúdicos, Motores y Corporales</t>
        </is>
      </c>
      <c r="B60" s="9" t="inlineStr">
        <is>
          <t>NO</t>
        </is>
      </c>
      <c r="C60" s="9" t="inlineStr">
        <is>
          <t>NO</t>
        </is>
      </c>
      <c r="D60" s="10" t="inlineStr">
        <is>
          <t>5° Año</t>
        </is>
      </c>
      <c r="E60" s="10">
        <f>IF(B60="SI", "REGULAR", "PENDIENTE")</f>
        <v/>
      </c>
      <c r="F60" s="10">
        <f>IF(C60="SI", "APROBADO", IF(B60="SI", "ADEUDA FINAL", "ADEUDA"))</f>
        <v/>
      </c>
      <c r="G60" s="11">
        <f>IF(C60="SI", "🟢 Aprobada", IF(B60="SI", "🟡 Regular", "🟣 Pendiente"))</f>
        <v/>
      </c>
    </row>
    <row r="61" ht="20" customHeight="1">
      <c r="A61" s="8" t="inlineStr">
        <is>
          <t>Historia Contemporánea de los Pueblos Angloparlantes</t>
        </is>
      </c>
      <c r="B61" s="9" t="inlineStr">
        <is>
          <t>NO</t>
        </is>
      </c>
      <c r="C61" s="9" t="inlineStr">
        <is>
          <t>NO</t>
        </is>
      </c>
      <c r="D61" s="10" t="inlineStr">
        <is>
          <t>5° Año</t>
        </is>
      </c>
      <c r="E61" s="10">
        <f>IF(B61="SI", "REGULAR", "PENDIENTE")</f>
        <v/>
      </c>
      <c r="F61" s="10">
        <f>IF(C61="SI", "APROBADO", IF(B61="SI", "ADEUDA FINAL", "ADEUDA"))</f>
        <v/>
      </c>
      <c r="G61" s="11">
        <f>IF(C61="SI", "🟢 Aprobada", IF(B61="SI", "🟡 Regular", "🟣 Pendiente"))</f>
        <v/>
      </c>
    </row>
    <row r="62" ht="20" customHeight="1">
      <c r="A62" s="8" t="inlineStr">
        <is>
          <t>Literaturas en Lengua Inglesa</t>
        </is>
      </c>
      <c r="B62" s="9" t="inlineStr">
        <is>
          <t>NO</t>
        </is>
      </c>
      <c r="C62" s="9" t="inlineStr">
        <is>
          <t>NO</t>
        </is>
      </c>
      <c r="D62" s="10" t="inlineStr">
        <is>
          <t>5° Año</t>
        </is>
      </c>
      <c r="E62" s="10">
        <f>IF(B62="SI", "REGULAR", "PENDIENTE")</f>
        <v/>
      </c>
      <c r="F62" s="10">
        <f>IF(C62="SI", "APROBADO", IF(B62="SI", "ADEUDA FINAL", "ADEUDA"))</f>
        <v/>
      </c>
      <c r="G62" s="11">
        <f>IF(C62="SI", "🟢 Aprobada", IF(B62="SI", "🟡 Regular", "🟣 Pendiente"))</f>
        <v/>
      </c>
    </row>
    <row r="63" ht="20" customHeight="1">
      <c r="A63" s="8" t="inlineStr">
        <is>
          <t>El Profesor de Inglés y el Maestro de Grado / Sala</t>
        </is>
      </c>
      <c r="B63" s="9" t="inlineStr">
        <is>
          <t>NO</t>
        </is>
      </c>
      <c r="C63" s="9" t="inlineStr">
        <is>
          <t>NO</t>
        </is>
      </c>
      <c r="D63" s="10" t="inlineStr">
        <is>
          <t>5° Año</t>
        </is>
      </c>
      <c r="E63" s="10">
        <f>IF(B63="SI", "REGULAR", "PENDIENTE")</f>
        <v/>
      </c>
      <c r="F63" s="10">
        <f>IF(C63="SI", "APROBADO", IF(B63="SI", "ADEUDA FINAL", "ADEUDA"))</f>
        <v/>
      </c>
      <c r="G63" s="11">
        <f>IF(C63="SI", "🟢 Aprobada", IF(B63="SI", "🟡 Regular", "🟣 Pendiente"))</f>
        <v/>
      </c>
    </row>
    <row r="64" ht="20" customHeight="1">
      <c r="A64" s="8" t="inlineStr">
        <is>
          <t>Taller formativo docente II</t>
        </is>
      </c>
      <c r="B64" s="9" t="inlineStr">
        <is>
          <t>NO</t>
        </is>
      </c>
      <c r="C64" s="9" t="inlineStr">
        <is>
          <t>NO</t>
        </is>
      </c>
      <c r="D64" s="10" t="inlineStr">
        <is>
          <t>5° Año</t>
        </is>
      </c>
      <c r="E64" s="10">
        <f>IF(B64="SI", "REGULAR", "PENDIENTE")</f>
        <v/>
      </c>
      <c r="F64" s="10">
        <f>IF(C64="SI", "APROBADO", IF(B64="SI", "ADEUDA FINAL", "ADEUDA"))</f>
        <v/>
      </c>
      <c r="G64" s="11">
        <f>IF(C64="SI", "🟢 Aprobada", IF(B64="SI", "🟡 Regular", "🟣 Pendiente"))</f>
        <v/>
      </c>
    </row>
    <row r="65" ht="20" customHeight="1">
      <c r="A65" s="8" t="inlineStr">
        <is>
          <t>Alfabetización</t>
        </is>
      </c>
      <c r="B65" s="9" t="inlineStr">
        <is>
          <t>NO</t>
        </is>
      </c>
      <c r="C65" s="9" t="inlineStr">
        <is>
          <t>NO</t>
        </is>
      </c>
      <c r="D65" s="10" t="inlineStr">
        <is>
          <t>5° Año</t>
        </is>
      </c>
      <c r="E65" s="10">
        <f>IF(B65="SI", "REGULAR", "PENDIENTE")</f>
        <v/>
      </c>
      <c r="F65" s="10">
        <f>IF(C65="SI", "APROBADO", IF(B65="SI", "ADEUDA FINAL", "ADEUDA"))</f>
        <v/>
      </c>
      <c r="G65" s="11">
        <f>IF(C65="SI", "🟢 Aprobada", IF(B65="SI", "🟡 Regular", "🟣 Pendiente"))</f>
        <v/>
      </c>
    </row>
    <row r="66" ht="20" customHeight="1">
      <c r="A66" s="8" t="inlineStr">
        <is>
          <t>El Uso de la Voz en el Aula</t>
        </is>
      </c>
      <c r="B66" s="9" t="inlineStr">
        <is>
          <t>NO</t>
        </is>
      </c>
      <c r="C66" s="9" t="inlineStr">
        <is>
          <t>NO</t>
        </is>
      </c>
      <c r="D66" s="10" t="inlineStr">
        <is>
          <t>5° Año</t>
        </is>
      </c>
      <c r="E66" s="10">
        <f>IF(B66="SI", "REGULAR", "PENDIENTE")</f>
        <v/>
      </c>
      <c r="F66" s="10">
        <f>IF(C66="SI", "APROBADO", IF(B66="SI", "ADEUDA FINAL", "ADEUDA"))</f>
        <v/>
      </c>
      <c r="G66" s="11">
        <f>IF(C66="SI", "🟢 Aprobada", IF(B66="SI", "🟡 Regular", "🟣 Pendiente"))</f>
        <v/>
      </c>
    </row>
    <row r="67" ht="20" customHeight="1">
      <c r="A67" s="8" t="inlineStr">
        <is>
          <t>Escritura Creativa</t>
        </is>
      </c>
      <c r="B67" s="9" t="inlineStr">
        <is>
          <t>NO</t>
        </is>
      </c>
      <c r="C67" s="9" t="inlineStr">
        <is>
          <t>NO</t>
        </is>
      </c>
      <c r="D67" s="10" t="inlineStr">
        <is>
          <t>5° Año</t>
        </is>
      </c>
      <c r="E67" s="10">
        <f>IF(B67="SI", "REGULAR", "PENDIENTE")</f>
        <v/>
      </c>
      <c r="F67" s="10">
        <f>IF(C67="SI", "APROBADO", IF(B67="SI", "ADEUDA FINAL", "ADEUDA"))</f>
        <v/>
      </c>
      <c r="G67" s="11">
        <f>IF(C67="SI", "🟢 Aprobada", IF(B67="SI", "🟡 Regular", "🟣 Pendiente"))</f>
        <v/>
      </c>
    </row>
    <row r="68" ht="20" customHeight="1">
      <c r="A68" s="8" t="inlineStr">
        <is>
          <t>Técnicas Teatrales en el Aula de Inglés</t>
        </is>
      </c>
      <c r="B68" s="9" t="inlineStr">
        <is>
          <t>NO</t>
        </is>
      </c>
      <c r="C68" s="9" t="inlineStr">
        <is>
          <t>NO</t>
        </is>
      </c>
      <c r="D68" s="10" t="inlineStr">
        <is>
          <t>5° Año</t>
        </is>
      </c>
      <c r="E68" s="10">
        <f>IF(B68="SI", "REGULAR", "PENDIENTE")</f>
        <v/>
      </c>
      <c r="F68" s="10">
        <f>IF(C68="SI", "APROBADO", IF(B68="SI", "ADEUDA FINAL", "ADEUDA"))</f>
        <v/>
      </c>
      <c r="G68" s="11">
        <f>IF(C68="SI", "🟢 Aprobada", IF(B68="SI", "🟡 Regular", "🟣 Pendiente"))</f>
        <v/>
      </c>
    </row>
    <row r="69" ht="20" customHeight="1">
      <c r="A69" s="8" t="inlineStr">
        <is>
          <t>Redacción del Discurso Académico</t>
        </is>
      </c>
      <c r="B69" s="9" t="inlineStr">
        <is>
          <t>NO</t>
        </is>
      </c>
      <c r="C69" s="9" t="inlineStr">
        <is>
          <t>NO</t>
        </is>
      </c>
      <c r="D69" s="10" t="inlineStr">
        <is>
          <t>5° Año</t>
        </is>
      </c>
      <c r="E69" s="10">
        <f>IF(B69="SI", "REGULAR", "PENDIENTE")</f>
        <v/>
      </c>
      <c r="F69" s="10">
        <f>IF(C69="SI", "APROBADO", IF(B69="SI", "ADEUDA FINAL", "ADEUDA"))</f>
        <v/>
      </c>
      <c r="G69" s="11">
        <f>IF(C69="SI", "🟢 Aprobada", IF(B69="SI", "🟡 Regular", "🟣 Pendiente"))</f>
        <v/>
      </c>
    </row>
    <row r="70" ht="20" customHeight="1">
      <c r="A70" s="8" t="inlineStr">
        <is>
          <t>Taller de Didáctica Específica</t>
        </is>
      </c>
      <c r="B70" s="9" t="inlineStr">
        <is>
          <t>NO</t>
        </is>
      </c>
      <c r="C70" s="9" t="inlineStr">
        <is>
          <t>NO</t>
        </is>
      </c>
      <c r="D70" s="10" t="inlineStr">
        <is>
          <t>5° Año</t>
        </is>
      </c>
      <c r="E70" s="10">
        <f>IF(B70="SI", "REGULAR", "PENDIENTE")</f>
        <v/>
      </c>
      <c r="F70" s="10">
        <f>IF(C70="SI", "APROBADO", IF(B70="SI", "ADEUDA FINAL", "ADEUDA"))</f>
        <v/>
      </c>
      <c r="G70" s="11">
        <f>IF(C70="SI", "🟢 Aprobada", IF(B70="SI", "🟡 Regular", "🟣 Pendiente"))</f>
        <v/>
      </c>
    </row>
    <row r="71" ht="20" customHeight="1">
      <c r="A71" s="8" t="inlineStr">
        <is>
          <t>Multimedios Aplicados a la Enseñanza del Inglés</t>
        </is>
      </c>
      <c r="B71" s="9" t="inlineStr">
        <is>
          <t>NO</t>
        </is>
      </c>
      <c r="C71" s="9" t="inlineStr">
        <is>
          <t>NO</t>
        </is>
      </c>
      <c r="D71" s="10" t="inlineStr">
        <is>
          <t>5° Año</t>
        </is>
      </c>
      <c r="E71" s="10">
        <f>IF(B71="SI", "REGULAR", "PENDIENTE")</f>
        <v/>
      </c>
      <c r="F71" s="10">
        <f>IF(C71="SI", "APROBADO", IF(B71="SI", "ADEUDA FINAL", "ADEUDA"))</f>
        <v/>
      </c>
      <c r="G71" s="11">
        <f>IF(C71="SI", "🟢 Aprobada", IF(B71="SI", "🟡 Regular", "🟣 Pendiente"))</f>
        <v/>
      </c>
    </row>
    <row r="72" ht="20" customHeight="1">
      <c r="A72" s="8" t="inlineStr">
        <is>
          <t>Enseñanza de las Lenguas Extranjeras en Educación Especial</t>
        </is>
      </c>
      <c r="B72" s="9" t="inlineStr">
        <is>
          <t>NO</t>
        </is>
      </c>
      <c r="C72" s="9" t="inlineStr">
        <is>
          <t>NO</t>
        </is>
      </c>
      <c r="D72" s="10" t="inlineStr">
        <is>
          <t>5° Año</t>
        </is>
      </c>
      <c r="E72" s="10">
        <f>IF(B72="SI", "REGULAR", "PENDIENTE")</f>
        <v/>
      </c>
      <c r="F72" s="10">
        <f>IF(C72="SI", "APROBADO", IF(B72="SI", "ADEUDA FINAL", "ADEUDA"))</f>
        <v/>
      </c>
      <c r="G72" s="11">
        <f>IF(C72="SI", "🟢 Aprobada", IF(B72="SI", "🟡 Regular", "🟣 Pendiente"))</f>
        <v/>
      </c>
    </row>
    <row r="73" ht="20" customHeight="1">
      <c r="A73" s="8" t="inlineStr">
        <is>
          <t>Técnicas Informáticas Aplicadas a la Enseñanza de la Lengua Extranjera</t>
        </is>
      </c>
      <c r="B73" s="9" t="inlineStr">
        <is>
          <t>NO</t>
        </is>
      </c>
      <c r="C73" s="9" t="inlineStr">
        <is>
          <t>NO</t>
        </is>
      </c>
      <c r="D73" s="10" t="inlineStr">
        <is>
          <t>5° Año</t>
        </is>
      </c>
      <c r="E73" s="10">
        <f>IF(B73="SI", "REGULAR", "PENDIENTE")</f>
        <v/>
      </c>
      <c r="F73" s="10">
        <f>IF(C73="SI", "APROBADO", IF(B73="SI", "ADEUDA FINAL", "ADEUDA"))</f>
        <v/>
      </c>
      <c r="G73" s="11">
        <f>IF(C73="SI", "🟢 Aprobada", IF(B73="SI", "🟡 Regular", "🟣 Pendiente"))</f>
        <v/>
      </c>
    </row>
    <row r="74" ht="20" customHeight="1">
      <c r="A74" s="8" t="inlineStr">
        <is>
          <t>Dinámica de Grupos</t>
        </is>
      </c>
      <c r="B74" s="9" t="inlineStr">
        <is>
          <t>NO</t>
        </is>
      </c>
      <c r="C74" s="9" t="inlineStr">
        <is>
          <t>NO</t>
        </is>
      </c>
      <c r="D74" s="10" t="inlineStr">
        <is>
          <t>5° Año</t>
        </is>
      </c>
      <c r="E74" s="10">
        <f>IF(B74="SI", "REGULAR", "PENDIENTE")</f>
        <v/>
      </c>
      <c r="F74" s="10">
        <f>IF(C74="SI", "APROBADO", IF(B74="SI", "ADEUDA FINAL", "ADEUDA"))</f>
        <v/>
      </c>
      <c r="G74" s="11">
        <f>IF(C74="SI", "🟢 Aprobada", IF(B74="SI", "🟡 Regular", "🟣 Pendiente"))</f>
        <v/>
      </c>
    </row>
  </sheetData>
  <mergeCells count="15">
    <mergeCell ref="I12:J12"/>
    <mergeCell ref="A1:G1"/>
    <mergeCell ref="A17:G17"/>
    <mergeCell ref="A40:G40"/>
    <mergeCell ref="I15:J15"/>
    <mergeCell ref="I10:J10"/>
    <mergeCell ref="A5:G5"/>
    <mergeCell ref="A50:G50"/>
    <mergeCell ref="I1:K1"/>
    <mergeCell ref="I11:J11"/>
    <mergeCell ref="A2:G2"/>
    <mergeCell ref="I13:J13"/>
    <mergeCell ref="I14:J14"/>
    <mergeCell ref="I9:J9"/>
    <mergeCell ref="A28:G28"/>
  </mergeCells>
  <dataValidations count="1">
    <dataValidation sqref="B6 B7 B8 B9 B10 B11 B12 B13 B14 B15 B16 B18 B19 B20 B21 B22 B23 B24 B25 B26 B27 B29 B30 B31 B32 B33 B34 B35 B36 B37 B38 B39 B41 B42 B43 B44 B45 B46 B47 B48 B49 B51 B52 B53 B54 B55 B56 B57 B58 B59 B60 B61 B62 B63 B64 B65 B66 B67 B68 B69 B70 B71 B72 B73 B74 C6 C7 C8 C9 C10 C11 C12 C13 C14 C15 C16 C18 C19 C20 C21 C22 C23 C24 C25 C26 C27 C29 C30 C31 C32 C33 C34 C35 C36 C37 C38 C39 C41 C42 C43 C44 C45 C46 C47 C48 C49 C51 C52 C53 C54 C55 C56 C57 C58 C59 C60 C61 C62 C63 C64 C65 C66 C67 C68 C69 C70 C71 C72 C73 C74"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2026-08-31T01:47:25Z</dcterms:created>
  <dcterms:modified xmlns:dcterms="http://purl.org/dc/terms/" xmlns:xsi="http://www.w3.org/2001/XMLSchema-instance" xsi:type="dcterms:W3CDTF">2026-08-31T01:47:25Z</dcterms:modified>
</cp:coreProperties>
</file>