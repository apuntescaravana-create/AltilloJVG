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64748B"/>
      <sz val="9"/>
    </font>
    <font>
      <name val="Arial"/>
      <b val="1"/>
      <color rgb="000B2545"/>
      <sz val="11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134074"/>
        <bgColor rgb="00134074"/>
      </patternFill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6" fillId="6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4" customWidth="1" min="4" max="4"/>
    <col width="18" customWidth="1" min="5" max="5"/>
    <col width="20" customWidth="1" min="6" max="6"/>
    <col width="24" customWidth="1" min="7" max="7"/>
    <col width="30" customWidth="1" min="9" max="9"/>
    <col width="18" customWidth="1" min="10" max="10"/>
  </cols>
  <sheetData>
    <row r="1" ht="32" customHeight="1">
      <c r="A1" s="1" t="inlineStr">
        <is>
          <t>MAPA DE CARRERA | PROFESORADO DE INGLÉS</t>
        </is>
      </c>
    </row>
    <row r="2" ht="20" customHeight="1">
      <c r="A2" s="2" t="inlineStr">
        <is>
          <t>La Caravana + Estudiantes Independientes | Altillo JVG - ISP Joaquín V. González</t>
        </is>
      </c>
    </row>
    <row r="3" ht="28" customHeight="1">
      <c r="A3" s="3" t="inlineStr">
        <is>
          <t>Asignatura / Materia</t>
        </is>
      </c>
      <c r="B3" s="3" t="inlineStr">
        <is>
          <t>¿Cursada Regular? (SI/NO)</t>
        </is>
      </c>
      <c r="C3" s="3" t="inlineStr">
        <is>
          <t>¿Final Aprobado? (SI/NO)</t>
        </is>
      </c>
      <c r="D3" s="3" t="inlineStr">
        <is>
          <t>Régimen / Año</t>
        </is>
      </c>
      <c r="E3" s="3" t="inlineStr">
        <is>
          <t>¿Cursada?</t>
        </is>
      </c>
      <c r="F3" s="3" t="inlineStr">
        <is>
          <t>¿Final?</t>
        </is>
      </c>
      <c r="G3" s="3" t="inlineStr">
        <is>
          <t>Estado de Avance</t>
        </is>
      </c>
      <c r="I3" s="4" t="inlineStr">
        <is>
          <t>📊 RESUMEN DE AVANCE</t>
        </is>
      </c>
    </row>
    <row r="4" ht="24" customHeight="1">
      <c r="A4" s="5" t="inlineStr">
        <is>
          <t>📌 1° AÑO</t>
        </is>
      </c>
      <c r="I4" s="6" t="inlineStr">
        <is>
          <t>Total Materias del Plan</t>
        </is>
      </c>
      <c r="J4" s="7" t="n">
        <v>146</v>
      </c>
    </row>
    <row r="5" ht="24" customHeight="1">
      <c r="A5" s="8" t="inlineStr">
        <is>
          <t>FONETICA Y FONOLOGIA I "A"</t>
        </is>
      </c>
      <c r="B5" s="9" t="inlineStr">
        <is>
          <t>NO</t>
        </is>
      </c>
      <c r="C5" s="9" t="inlineStr">
        <is>
          <t>NO</t>
        </is>
      </c>
      <c r="D5" s="10" t="inlineStr">
        <is>
          <t>1° Año</t>
        </is>
      </c>
      <c r="E5" s="9">
        <f>IF(OR(B5="SI",B5="SÍ",B5=TRUE),"REGULAR","PENDIENTE")</f>
        <v/>
      </c>
      <c r="F5" s="9">
        <f>IF(OR(C5="SI",C5="SÍ",C5=TRUE),"APROBADA",IF(OR(B5="SI",B5="SÍ",B5=TRUE),"RINDE FINAL","ADEUDA"))</f>
        <v/>
      </c>
      <c r="G5" s="9">
        <f>IF(OR(C5="SI",C5="SÍ",C5=TRUE),"✅ Aprobada",IF(OR(B5="SI",B5="SÍ",B5=TRUE),"⏳ Cursada (Rinde Final)","⚪ Pendiente"))</f>
        <v/>
      </c>
      <c r="I5" s="6" t="inlineStr">
        <is>
          <t>Cursadas Regulares</t>
        </is>
      </c>
      <c r="J5" s="7">
        <f>COUNTIF(B4:B156, "S*") + COUNTIF(B4:B156, TRUE)</f>
        <v/>
      </c>
    </row>
    <row r="6" ht="24" customHeight="1">
      <c r="A6" s="11" t="inlineStr">
        <is>
          <t>FONETICA Y FONOLOGIA I "C"</t>
        </is>
      </c>
      <c r="B6" s="9" t="inlineStr">
        <is>
          <t>NO</t>
        </is>
      </c>
      <c r="C6" s="9" t="inlineStr">
        <is>
          <t>NO</t>
        </is>
      </c>
      <c r="D6" s="12" t="inlineStr">
        <is>
          <t>1° Año</t>
        </is>
      </c>
      <c r="E6" s="9">
        <f>IF(OR(B6="SI",B6="SÍ",B6=TRUE),"REGULAR","PENDIENTE")</f>
        <v/>
      </c>
      <c r="F6" s="9">
        <f>IF(OR(C6="SI",C6="SÍ",C6=TRUE),"APROBADA",IF(OR(B6="SI",B6="SÍ",B6=TRUE),"RINDE FINAL","ADEUDA"))</f>
        <v/>
      </c>
      <c r="G6" s="9">
        <f>IF(OR(C6="SI",C6="SÍ",C6=TRUE),"✅ Aprobada",IF(OR(B6="SI",B6="SÍ",B6=TRUE),"⏳ Cursada (Rinde Final)","⚪ Pendiente"))</f>
        <v/>
      </c>
      <c r="I6" s="6" t="inlineStr">
        <is>
          <t>Finales Aprobados</t>
        </is>
      </c>
      <c r="J6" s="7">
        <f>COUNTIF(C4:C156, "S*") + COUNTIF(C4:C156, TRUE)</f>
        <v/>
      </c>
    </row>
    <row r="7" ht="24" customHeight="1">
      <c r="A7" s="8" t="inlineStr">
        <is>
          <t>FONETICA Y FONOLOGIA I "I"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1° Año</t>
        </is>
      </c>
      <c r="E7" s="9">
        <f>IF(OR(B7="SI",B7="SÍ",B7=TRUE),"REGULAR","PENDIENTE")</f>
        <v/>
      </c>
      <c r="F7" s="9">
        <f>IF(OR(C7="SI",C7="SÍ",C7=TRUE),"APROBADA",IF(OR(B7="SI",B7="SÍ",B7=TRUE),"RINDE FINAL","ADEUDA"))</f>
        <v/>
      </c>
      <c r="G7" s="9">
        <f>IF(OR(C7="SI",C7="SÍ",C7=TRUE),"✅ Aprobada",IF(OR(B7="SI",B7="SÍ",B7=TRUE),"⏳ Cursada (Rinde Final)","⚪ Pendiente"))</f>
        <v/>
      </c>
      <c r="I7" s="6" t="inlineStr">
        <is>
          <t>Finales Adeudados</t>
        </is>
      </c>
      <c r="J7" s="7">
        <f>J5-J6</f>
        <v/>
      </c>
    </row>
    <row r="8" ht="24" customHeight="1">
      <c r="A8" s="11" t="inlineStr">
        <is>
          <t>FONETICA Y FONOLOGÍA I "B"</t>
        </is>
      </c>
      <c r="B8" s="9" t="inlineStr">
        <is>
          <t>NO</t>
        </is>
      </c>
      <c r="C8" s="9" t="inlineStr">
        <is>
          <t>NO</t>
        </is>
      </c>
      <c r="D8" s="12" t="inlineStr">
        <is>
          <t>1° Año</t>
        </is>
      </c>
      <c r="E8" s="9">
        <f>IF(OR(B8="SI",B8="SÍ",B8=TRUE),"REGULAR","PENDIENTE")</f>
        <v/>
      </c>
      <c r="F8" s="9">
        <f>IF(OR(C8="SI",C8="SÍ",C8=TRUE),"APROBADA",IF(OR(B8="SI",B8="SÍ",B8=TRUE),"RINDE FINAL","ADEUDA"))</f>
        <v/>
      </c>
      <c r="G8" s="9">
        <f>IF(OR(C8="SI",C8="SÍ",C8=TRUE),"✅ Aprobada",IF(OR(B8="SI",B8="SÍ",B8=TRUE),"⏳ Cursada (Rinde Final)","⚪ Pendiente"))</f>
        <v/>
      </c>
      <c r="I8" s="6" t="inlineStr">
        <is>
          <t>% Cursadas Completadas</t>
        </is>
      </c>
      <c r="J8" s="13">
        <f>J5/146</f>
        <v/>
      </c>
    </row>
    <row r="9" ht="24" customHeight="1">
      <c r="A9" s="8" t="inlineStr">
        <is>
          <t>FONETICA Y FONOLOGÍA I "H"</t>
        </is>
      </c>
      <c r="B9" s="9" t="inlineStr">
        <is>
          <t>NO</t>
        </is>
      </c>
      <c r="C9" s="9" t="inlineStr">
        <is>
          <t>NO</t>
        </is>
      </c>
      <c r="D9" s="10" t="inlineStr">
        <is>
          <t>1° Año</t>
        </is>
      </c>
      <c r="E9" s="9">
        <f>IF(OR(B9="SI",B9="SÍ",B9=TRUE),"REGULAR","PENDIENTE")</f>
        <v/>
      </c>
      <c r="F9" s="9">
        <f>IF(OR(C9="SI",C9="SÍ",C9=TRUE),"APROBADA",IF(OR(B9="SI",B9="SÍ",B9=TRUE),"RINDE FINAL","ADEUDA"))</f>
        <v/>
      </c>
      <c r="G9" s="9">
        <f>IF(OR(C9="SI",C9="SÍ",C9=TRUE),"✅ Aprobada",IF(OR(B9="SI",B9="SÍ",B9=TRUE),"⏳ Cursada (Rinde Final)","⚪ Pendiente"))</f>
        <v/>
      </c>
      <c r="I9" s="6" t="inlineStr">
        <is>
          <t>% Carrera Aprobada (Finales)</t>
        </is>
      </c>
      <c r="J9" s="13">
        <f>J6/146</f>
        <v/>
      </c>
    </row>
    <row r="10" ht="20" customHeight="1">
      <c r="A10" s="11" t="inlineStr">
        <is>
          <t>GEOG. Y CULT DE LAS ISLAS BRITANICAS "A"</t>
        </is>
      </c>
      <c r="B10" s="9" t="inlineStr">
        <is>
          <t>NO</t>
        </is>
      </c>
      <c r="C10" s="9" t="inlineStr">
        <is>
          <t>NO</t>
        </is>
      </c>
      <c r="D10" s="12" t="inlineStr">
        <is>
          <t>1° Año</t>
        </is>
      </c>
      <c r="E10" s="9">
        <f>IF(OR(B10="SI",B10="SÍ",B10=TRUE),"REGULAR","PENDIENTE")</f>
        <v/>
      </c>
      <c r="F10" s="9">
        <f>IF(OR(C10="SI",C10="SÍ",C10=TRUE),"APROBADA",IF(OR(B10="SI",B10="SÍ",B10=TRUE),"RINDE FINAL","ADEUDA"))</f>
        <v/>
      </c>
      <c r="G10" s="9">
        <f>IF(OR(C10="SI",C10="SÍ",C10=TRUE),"✅ Aprobada",IF(OR(B10="SI",B10="SÍ",B10=TRUE),"⏳ Cursada (Rinde Final)","⚪ Pendiente"))</f>
        <v/>
      </c>
    </row>
    <row r="11" ht="20" customHeight="1">
      <c r="A11" s="8" t="inlineStr">
        <is>
          <t>GEOG. Y CULT. DE EE.UU. "C" (1° Cuat.)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1° Año</t>
        </is>
      </c>
      <c r="E11" s="9">
        <f>IF(OR(B11="SI",B11="SÍ",B11=TRUE),"REGULAR","PENDIENTE")</f>
        <v/>
      </c>
      <c r="F11" s="9">
        <f>IF(OR(C11="SI",C11="SÍ",C11=TRUE),"APROBADA",IF(OR(B11="SI",B11="SÍ",B11=TRUE),"RINDE FINAL","ADEUDA"))</f>
        <v/>
      </c>
      <c r="G11" s="9">
        <f>IF(OR(C11="SI",C11="SÍ",C11=TRUE),"✅ Aprobada",IF(OR(B11="SI",B11="SÍ",B11=TRUE),"⏳ Cursada (Rinde Final)","⚪ Pendiente"))</f>
        <v/>
      </c>
      <c r="I11" s="14" t="inlineStr">
        <is>
          <t>💡 INSTRUCCIONES DE USO</t>
        </is>
      </c>
    </row>
    <row r="12" ht="26" customHeight="1">
      <c r="A12" s="11" t="inlineStr">
        <is>
          <t>GEOG. Y CULTURA DE LAS ISLAS BRIT. "H" (1º C)</t>
        </is>
      </c>
      <c r="B12" s="9" t="inlineStr">
        <is>
          <t>NO</t>
        </is>
      </c>
      <c r="C12" s="9" t="inlineStr">
        <is>
          <t>NO</t>
        </is>
      </c>
      <c r="D12" s="12" t="inlineStr">
        <is>
          <t>1° Año</t>
        </is>
      </c>
      <c r="E12" s="9">
        <f>IF(OR(B12="SI",B12="SÍ",B12=TRUE),"REGULAR","PENDIENTE")</f>
        <v/>
      </c>
      <c r="F12" s="9">
        <f>IF(OR(C12="SI",C12="SÍ",C12=TRUE),"APROBADA",IF(OR(B12="SI",B12="SÍ",B12=TRUE),"RINDE FINAL","ADEUDA"))</f>
        <v/>
      </c>
      <c r="G12" s="9">
        <f>IF(OR(C12="SI",C12="SÍ",C12=TRUE),"✅ Aprobada",IF(OR(B12="SI",B12="SÍ",B12=TRUE),"⏳ Cursada (Rinde Final)","⚪ Pendiente"))</f>
        <v/>
      </c>
      <c r="I12" s="15" t="inlineStr">
        <is>
          <t>1. Hacé clic en la celda y elegí 'SI' o 'NO' desde el menú desplegable.</t>
        </is>
      </c>
    </row>
    <row r="13" ht="26" customHeight="1">
      <c r="A13" s="8" t="inlineStr">
        <is>
          <t>GEOG. Y CULTURA DE LOS EE.UU. "I"(1ºC)</t>
        </is>
      </c>
      <c r="B13" s="9" t="inlineStr">
        <is>
          <t>NO</t>
        </is>
      </c>
      <c r="C13" s="9" t="inlineStr">
        <is>
          <t>NO</t>
        </is>
      </c>
      <c r="D13" s="10" t="inlineStr">
        <is>
          <t>1° Año</t>
        </is>
      </c>
      <c r="E13" s="9">
        <f>IF(OR(B13="SI",B13="SÍ",B13=TRUE),"REGULAR","PENDIENTE")</f>
        <v/>
      </c>
      <c r="F13" s="9">
        <f>IF(OR(C13="SI",C13="SÍ",C13=TRUE),"APROBADA",IF(OR(B13="SI",B13="SÍ",B13=TRUE),"RINDE FINAL","ADEUDA"))</f>
        <v/>
      </c>
      <c r="G13" s="9">
        <f>IF(OR(C13="SI",C13="SÍ",C13=TRUE),"✅ Aprobada",IF(OR(B13="SI",B13="SÍ",B13=TRUE),"⏳ Cursada (Rinde Final)","⚪ Pendiente"))</f>
        <v/>
      </c>
      <c r="I13" s="15" t="inlineStr">
        <is>
          <t>2. Columna B: Marcá 'SI' si tenés la cursada regular aprobada.</t>
        </is>
      </c>
    </row>
    <row r="14" ht="26" customHeight="1">
      <c r="A14" s="11" t="inlineStr">
        <is>
          <t>GEOGRAFIA Y CULTURA DE LAS I. BRITANICAS "B"</t>
        </is>
      </c>
      <c r="B14" s="9" t="inlineStr">
        <is>
          <t>NO</t>
        </is>
      </c>
      <c r="C14" s="9" t="inlineStr">
        <is>
          <t>NO</t>
        </is>
      </c>
      <c r="D14" s="12" t="inlineStr">
        <is>
          <t>1° Año</t>
        </is>
      </c>
      <c r="E14" s="9">
        <f>IF(OR(B14="SI",B14="SÍ",B14=TRUE),"REGULAR","PENDIENTE")</f>
        <v/>
      </c>
      <c r="F14" s="9">
        <f>IF(OR(C14="SI",C14="SÍ",C14=TRUE),"APROBADA",IF(OR(B14="SI",B14="SÍ",B14=TRUE),"RINDE FINAL","ADEUDA"))</f>
        <v/>
      </c>
      <c r="G14" s="9">
        <f>IF(OR(C14="SI",C14="SÍ",C14=TRUE),"✅ Aprobada",IF(OR(B14="SI",B14="SÍ",B14=TRUE),"⏳ Cursada (Rinde Final)","⚪ Pendiente"))</f>
        <v/>
      </c>
      <c r="I14" s="15" t="inlineStr">
        <is>
          <t>3. Columna C: Marcá 'SI' si aprobaste el final o promocionaste.</t>
        </is>
      </c>
    </row>
    <row r="15" ht="26" customHeight="1">
      <c r="A15" s="8" t="inlineStr">
        <is>
          <t>GRAMATICA INGLESA I "A"</t>
        </is>
      </c>
      <c r="B15" s="9" t="inlineStr">
        <is>
          <t>NO</t>
        </is>
      </c>
      <c r="C15" s="9" t="inlineStr">
        <is>
          <t>NO</t>
        </is>
      </c>
      <c r="D15" s="10" t="inlineStr">
        <is>
          <t>1° Año</t>
        </is>
      </c>
      <c r="E15" s="9">
        <f>IF(OR(B15="SI",B15="SÍ",B15=TRUE),"REGULAR","PENDIENTE")</f>
        <v/>
      </c>
      <c r="F15" s="9">
        <f>IF(OR(C15="SI",C15="SÍ",C15=TRUE),"APROBADA",IF(OR(B15="SI",B15="SÍ",B15=TRUE),"RINDE FINAL","ADEUDA"))</f>
        <v/>
      </c>
      <c r="G15" s="9">
        <f>IF(OR(C15="SI",C15="SÍ",C15=TRUE),"✅ Aprobada",IF(OR(B15="SI",B15="SÍ",B15=TRUE),"⏳ Cursada (Rinde Final)","⚪ Pendiente"))</f>
        <v/>
      </c>
      <c r="I15" s="15" t="inlineStr">
        <is>
          <t>4. Las columnas E, F y G se actualizan automáticamente en tiempo real.</t>
        </is>
      </c>
    </row>
    <row r="16" ht="26" customHeight="1">
      <c r="A16" s="11" t="inlineStr">
        <is>
          <t>GRAMATICA INGLESA I "B"</t>
        </is>
      </c>
      <c r="B16" s="9" t="inlineStr">
        <is>
          <t>NO</t>
        </is>
      </c>
      <c r="C16" s="9" t="inlineStr">
        <is>
          <t>NO</t>
        </is>
      </c>
      <c r="D16" s="12" t="inlineStr">
        <is>
          <t>1° Año</t>
        </is>
      </c>
      <c r="E16" s="9">
        <f>IF(OR(B16="SI",B16="SÍ",B16=TRUE),"REGULAR","PENDIENTE")</f>
        <v/>
      </c>
      <c r="F16" s="9">
        <f>IF(OR(C16="SI",C16="SÍ",C16=TRUE),"APROBADA",IF(OR(B16="SI",B16="SÍ",B16=TRUE),"RINDE FINAL","ADEUDA"))</f>
        <v/>
      </c>
      <c r="G16" s="9">
        <f>IF(OR(C16="SI",C16="SÍ",C16=TRUE),"✅ Aprobada",IF(OR(B16="SI",B16="SÍ",B16=TRUE),"⏳ Cursada (Rinde Final)","⚪ Pendiente"))</f>
        <v/>
      </c>
      <c r="I16" s="15" t="inlineStr">
        <is>
          <t>5. El panel lateral calcula tu avance y porcentaje de carrera en vivo.</t>
        </is>
      </c>
    </row>
    <row r="17" ht="26" customHeight="1">
      <c r="A17" s="8" t="inlineStr">
        <is>
          <t>GRAMATICA INGLESA I "C"</t>
        </is>
      </c>
      <c r="B17" s="9" t="inlineStr">
        <is>
          <t>NO</t>
        </is>
      </c>
      <c r="C17" s="9" t="inlineStr">
        <is>
          <t>NO</t>
        </is>
      </c>
      <c r="D17" s="10" t="inlineStr">
        <is>
          <t>1° Año</t>
        </is>
      </c>
      <c r="E17" s="9">
        <f>IF(OR(B17="SI",B17="SÍ",B17=TRUE),"REGULAR","PENDIENTE")</f>
        <v/>
      </c>
      <c r="F17" s="9">
        <f>IF(OR(C17="SI",C17="SÍ",C17=TRUE),"APROBADA",IF(OR(B17="SI",B17="SÍ",B17=TRUE),"RINDE FINAL","ADEUDA"))</f>
        <v/>
      </c>
      <c r="G17" s="9">
        <f>IF(OR(C17="SI",C17="SÍ",C17=TRUE),"✅ Aprobada",IF(OR(B17="SI",B17="SÍ",B17=TRUE),"⏳ Cursada (Rinde Final)","⚪ Pendiente"))</f>
        <v/>
      </c>
      <c r="I17" s="15" t="inlineStr">
        <is>
          <t>6. Podés subir el archivo a tu Google Drive personal para editarlo online.</t>
        </is>
      </c>
    </row>
    <row r="18" ht="20" customHeight="1">
      <c r="A18" s="11" t="inlineStr">
        <is>
          <t>GRAMATICA INGLESA I "H"</t>
        </is>
      </c>
      <c r="B18" s="9" t="inlineStr">
        <is>
          <t>NO</t>
        </is>
      </c>
      <c r="C18" s="9" t="inlineStr">
        <is>
          <t>NO</t>
        </is>
      </c>
      <c r="D18" s="12" t="inlineStr">
        <is>
          <t>1° Año</t>
        </is>
      </c>
      <c r="E18" s="9">
        <f>IF(OR(B18="SI",B18="SÍ",B18=TRUE),"REGULAR","PENDIENTE")</f>
        <v/>
      </c>
      <c r="F18" s="9">
        <f>IF(OR(C18="SI",C18="SÍ",C18=TRUE),"APROBADA",IF(OR(B18="SI",B18="SÍ",B18=TRUE),"RINDE FINAL","ADEUDA"))</f>
        <v/>
      </c>
      <c r="G18" s="9">
        <f>IF(OR(C18="SI",C18="SÍ",C18=TRUE),"✅ Aprobada",IF(OR(B18="SI",B18="SÍ",B18=TRUE),"⏳ Cursada (Rinde Final)","⚪ Pendiente"))</f>
        <v/>
      </c>
    </row>
    <row r="19" ht="20" customHeight="1">
      <c r="A19" s="8" t="inlineStr">
        <is>
          <t>GRAMATICA INGLESA I "I"</t>
        </is>
      </c>
      <c r="B19" s="9" t="inlineStr">
        <is>
          <t>NO</t>
        </is>
      </c>
      <c r="C19" s="9" t="inlineStr">
        <is>
          <t>NO</t>
        </is>
      </c>
      <c r="D19" s="10" t="inlineStr">
        <is>
          <t>1° Año</t>
        </is>
      </c>
      <c r="E19" s="9">
        <f>IF(OR(B19="SI",B19="SÍ",B19=TRUE),"REGULAR","PENDIENTE")</f>
        <v/>
      </c>
      <c r="F19" s="9">
        <f>IF(OR(C19="SI",C19="SÍ",C19=TRUE),"APROBADA",IF(OR(B19="SI",B19="SÍ",B19=TRUE),"RINDE FINAL","ADEUDA"))</f>
        <v/>
      </c>
      <c r="G19" s="9">
        <f>IF(OR(C19="SI",C19="SÍ",C19=TRUE),"✅ Aprobada",IF(OR(B19="SI",B19="SÍ",B19=TRUE),"⏳ Cursada (Rinde Final)","⚪ Pendiente"))</f>
        <v/>
      </c>
    </row>
    <row r="20" ht="20" customHeight="1">
      <c r="A20" s="11" t="inlineStr">
        <is>
          <t>LECTURA, ESCRITURA Y ORALIDAD "A"</t>
        </is>
      </c>
      <c r="B20" s="9" t="inlineStr">
        <is>
          <t>NO</t>
        </is>
      </c>
      <c r="C20" s="9" t="inlineStr">
        <is>
          <t>NO</t>
        </is>
      </c>
      <c r="D20" s="12" t="inlineStr">
        <is>
          <t>1° Año</t>
        </is>
      </c>
      <c r="E20" s="9">
        <f>IF(OR(B20="SI",B20="SÍ",B20=TRUE),"REGULAR","PENDIENTE")</f>
        <v/>
      </c>
      <c r="F20" s="9">
        <f>IF(OR(C20="SI",C20="SÍ",C20=TRUE),"APROBADA",IF(OR(B20="SI",B20="SÍ",B20=TRUE),"RINDE FINAL","ADEUDA"))</f>
        <v/>
      </c>
      <c r="G20" s="9">
        <f>IF(OR(C20="SI",C20="SÍ",C20=TRUE),"✅ Aprobada",IF(OR(B20="SI",B20="SÍ",B20=TRUE),"⏳ Cursada (Rinde Final)","⚪ Pendiente"))</f>
        <v/>
      </c>
    </row>
    <row r="21" ht="20" customHeight="1">
      <c r="A21" s="8" t="inlineStr">
        <is>
          <t>LECTURA, ESCRITURA Y ORALIDAD "C"</t>
        </is>
      </c>
      <c r="B21" s="9" t="inlineStr">
        <is>
          <t>NO</t>
        </is>
      </c>
      <c r="C21" s="9" t="inlineStr">
        <is>
          <t>NO</t>
        </is>
      </c>
      <c r="D21" s="10" t="inlineStr">
        <is>
          <t>1° Año</t>
        </is>
      </c>
      <c r="E21" s="9">
        <f>IF(OR(B21="SI",B21="SÍ",B21=TRUE),"REGULAR","PENDIENTE")</f>
        <v/>
      </c>
      <c r="F21" s="9">
        <f>IF(OR(C21="SI",C21="SÍ",C21=TRUE),"APROBADA",IF(OR(B21="SI",B21="SÍ",B21=TRUE),"RINDE FINAL","ADEUDA"))</f>
        <v/>
      </c>
      <c r="G21" s="9">
        <f>IF(OR(C21="SI",C21="SÍ",C21=TRUE),"✅ Aprobada",IF(OR(B21="SI",B21="SÍ",B21=TRUE),"⏳ Cursada (Rinde Final)","⚪ Pendiente"))</f>
        <v/>
      </c>
    </row>
    <row r="22" ht="20" customHeight="1">
      <c r="A22" s="11" t="inlineStr">
        <is>
          <t>LECTURA, ESCRITURA Y ORALIDAD "H"</t>
        </is>
      </c>
      <c r="B22" s="9" t="inlineStr">
        <is>
          <t>NO</t>
        </is>
      </c>
      <c r="C22" s="9" t="inlineStr">
        <is>
          <t>NO</t>
        </is>
      </c>
      <c r="D22" s="12" t="inlineStr">
        <is>
          <t>1° Año</t>
        </is>
      </c>
      <c r="E22" s="9">
        <f>IF(OR(B22="SI",B22="SÍ",B22=TRUE),"REGULAR","PENDIENTE")</f>
        <v/>
      </c>
      <c r="F22" s="9">
        <f>IF(OR(C22="SI",C22="SÍ",C22=TRUE),"APROBADA",IF(OR(B22="SI",B22="SÍ",B22=TRUE),"RINDE FINAL","ADEUDA"))</f>
        <v/>
      </c>
      <c r="G22" s="9">
        <f>IF(OR(C22="SI",C22="SÍ",C22=TRUE),"✅ Aprobada",IF(OR(B22="SI",B22="SÍ",B22=TRUE),"⏳ Cursada (Rinde Final)","⚪ Pendiente"))</f>
        <v/>
      </c>
    </row>
    <row r="23" ht="20" customHeight="1">
      <c r="A23" s="8" t="inlineStr">
        <is>
          <t>LECTURA, ESCRITURA Y ORALIDAD "I"</t>
        </is>
      </c>
      <c r="B23" s="9" t="inlineStr">
        <is>
          <t>NO</t>
        </is>
      </c>
      <c r="C23" s="9" t="inlineStr">
        <is>
          <t>NO</t>
        </is>
      </c>
      <c r="D23" s="10" t="inlineStr">
        <is>
          <t>1° Año</t>
        </is>
      </c>
      <c r="E23" s="9">
        <f>IF(OR(B23="SI",B23="SÍ",B23=TRUE),"REGULAR","PENDIENTE")</f>
        <v/>
      </c>
      <c r="F23" s="9">
        <f>IF(OR(C23="SI",C23="SÍ",C23=TRUE),"APROBADA",IF(OR(B23="SI",B23="SÍ",B23=TRUE),"RINDE FINAL","ADEUDA"))</f>
        <v/>
      </c>
      <c r="G23" s="9">
        <f>IF(OR(C23="SI",C23="SÍ",C23=TRUE),"✅ Aprobada",IF(OR(B23="SI",B23="SÍ",B23=TRUE),"⏳ Cursada (Rinde Final)","⚪ Pendiente"))</f>
        <v/>
      </c>
    </row>
    <row r="24" ht="20" customHeight="1">
      <c r="A24" s="11" t="inlineStr">
        <is>
          <t>LECTURA, ESCRITURA Y ORALIDAD I "B"</t>
        </is>
      </c>
      <c r="B24" s="9" t="inlineStr">
        <is>
          <t>NO</t>
        </is>
      </c>
      <c r="C24" s="9" t="inlineStr">
        <is>
          <t>NO</t>
        </is>
      </c>
      <c r="D24" s="12" t="inlineStr">
        <is>
          <t>1° Año</t>
        </is>
      </c>
      <c r="E24" s="9">
        <f>IF(OR(B24="SI",B24="SÍ",B24=TRUE),"REGULAR","PENDIENTE")</f>
        <v/>
      </c>
      <c r="F24" s="9">
        <f>IF(OR(C24="SI",C24="SÍ",C24=TRUE),"APROBADA",IF(OR(B24="SI",B24="SÍ",B24=TRUE),"RINDE FINAL","ADEUDA"))</f>
        <v/>
      </c>
      <c r="G24" s="9">
        <f>IF(OR(C24="SI",C24="SÍ",C24=TRUE),"✅ Aprobada",IF(OR(B24="SI",B24="SÍ",B24=TRUE),"⏳ Cursada (Rinde Final)","⚪ Pendiente"))</f>
        <v/>
      </c>
    </row>
    <row r="25" ht="20" customHeight="1">
      <c r="A25" s="8" t="inlineStr">
        <is>
          <t>LENGUA INGLESA I "A"</t>
        </is>
      </c>
      <c r="B25" s="9" t="inlineStr">
        <is>
          <t>NO</t>
        </is>
      </c>
      <c r="C25" s="9" t="inlineStr">
        <is>
          <t>NO</t>
        </is>
      </c>
      <c r="D25" s="10" t="inlineStr">
        <is>
          <t>1° Año</t>
        </is>
      </c>
      <c r="E25" s="9">
        <f>IF(OR(B25="SI",B25="SÍ",B25=TRUE),"REGULAR","PENDIENTE")</f>
        <v/>
      </c>
      <c r="F25" s="9">
        <f>IF(OR(C25="SI",C25="SÍ",C25=TRUE),"APROBADA",IF(OR(B25="SI",B25="SÍ",B25=TRUE),"RINDE FINAL","ADEUDA"))</f>
        <v/>
      </c>
      <c r="G25" s="9">
        <f>IF(OR(C25="SI",C25="SÍ",C25=TRUE),"✅ Aprobada",IF(OR(B25="SI",B25="SÍ",B25=TRUE),"⏳ Cursada (Rinde Final)","⚪ Pendiente"))</f>
        <v/>
      </c>
    </row>
    <row r="26" ht="20" customHeight="1">
      <c r="A26" s="11" t="inlineStr">
        <is>
          <t>LENGUA INGLESA I "B"</t>
        </is>
      </c>
      <c r="B26" s="9" t="inlineStr">
        <is>
          <t>NO</t>
        </is>
      </c>
      <c r="C26" s="9" t="inlineStr">
        <is>
          <t>NO</t>
        </is>
      </c>
      <c r="D26" s="12" t="inlineStr">
        <is>
          <t>1° Año</t>
        </is>
      </c>
      <c r="E26" s="9">
        <f>IF(OR(B26="SI",B26="SÍ",B26=TRUE),"REGULAR","PENDIENTE")</f>
        <v/>
      </c>
      <c r="F26" s="9">
        <f>IF(OR(C26="SI",C26="SÍ",C26=TRUE),"APROBADA",IF(OR(B26="SI",B26="SÍ",B26=TRUE),"RINDE FINAL","ADEUDA"))</f>
        <v/>
      </c>
      <c r="G26" s="9">
        <f>IF(OR(C26="SI",C26="SÍ",C26=TRUE),"✅ Aprobada",IF(OR(B26="SI",B26="SÍ",B26=TRUE),"⏳ Cursada (Rinde Final)","⚪ Pendiente"))</f>
        <v/>
      </c>
    </row>
    <row r="27" ht="20" customHeight="1">
      <c r="A27" s="8" t="inlineStr">
        <is>
          <t>LENGUA INGLESA I "C"</t>
        </is>
      </c>
      <c r="B27" s="9" t="inlineStr">
        <is>
          <t>NO</t>
        </is>
      </c>
      <c r="C27" s="9" t="inlineStr">
        <is>
          <t>NO</t>
        </is>
      </c>
      <c r="D27" s="10" t="inlineStr">
        <is>
          <t>1° Año</t>
        </is>
      </c>
      <c r="E27" s="9">
        <f>IF(OR(B27="SI",B27="SÍ",B27=TRUE),"REGULAR","PENDIENTE")</f>
        <v/>
      </c>
      <c r="F27" s="9">
        <f>IF(OR(C27="SI",C27="SÍ",C27=TRUE),"APROBADA",IF(OR(B27="SI",B27="SÍ",B27=TRUE),"RINDE FINAL","ADEUDA"))</f>
        <v/>
      </c>
      <c r="G27" s="9">
        <f>IF(OR(C27="SI",C27="SÍ",C27=TRUE),"✅ Aprobada",IF(OR(B27="SI",B27="SÍ",B27=TRUE),"⏳ Cursada (Rinde Final)","⚪ Pendiente"))</f>
        <v/>
      </c>
    </row>
    <row r="28" ht="20" customHeight="1">
      <c r="A28" s="11" t="inlineStr">
        <is>
          <t>LENGUA INGLESA I "H"</t>
        </is>
      </c>
      <c r="B28" s="9" t="inlineStr">
        <is>
          <t>NO</t>
        </is>
      </c>
      <c r="C28" s="9" t="inlineStr">
        <is>
          <t>NO</t>
        </is>
      </c>
      <c r="D28" s="12" t="inlineStr">
        <is>
          <t>1° Año</t>
        </is>
      </c>
      <c r="E28" s="9">
        <f>IF(OR(B28="SI",B28="SÍ",B28=TRUE),"REGULAR","PENDIENTE")</f>
        <v/>
      </c>
      <c r="F28" s="9">
        <f>IF(OR(C28="SI",C28="SÍ",C28=TRUE),"APROBADA",IF(OR(B28="SI",B28="SÍ",B28=TRUE),"RINDE FINAL","ADEUDA"))</f>
        <v/>
      </c>
      <c r="G28" s="9">
        <f>IF(OR(C28="SI",C28="SÍ",C28=TRUE),"✅ Aprobada",IF(OR(B28="SI",B28="SÍ",B28=TRUE),"⏳ Cursada (Rinde Final)","⚪ Pendiente"))</f>
        <v/>
      </c>
    </row>
    <row r="29" ht="20" customHeight="1">
      <c r="A29" s="8" t="inlineStr">
        <is>
          <t>LENGUA INGLESA I "I"</t>
        </is>
      </c>
      <c r="B29" s="9" t="inlineStr">
        <is>
          <t>NO</t>
        </is>
      </c>
      <c r="C29" s="9" t="inlineStr">
        <is>
          <t>NO</t>
        </is>
      </c>
      <c r="D29" s="10" t="inlineStr">
        <is>
          <t>1° Año</t>
        </is>
      </c>
      <c r="E29" s="9">
        <f>IF(OR(B29="SI",B29="SÍ",B29=TRUE),"REGULAR","PENDIENTE")</f>
        <v/>
      </c>
      <c r="F29" s="9">
        <f>IF(OR(C29="SI",C29="SÍ",C29=TRUE),"APROBADA",IF(OR(B29="SI",B29="SÍ",B29=TRUE),"RINDE FINAL","ADEUDA"))</f>
        <v/>
      </c>
      <c r="G29" s="9">
        <f>IF(OR(C29="SI",C29="SÍ",C29=TRUE),"✅ Aprobada",IF(OR(B29="SI",B29="SÍ",B29=TRUE),"⏳ Cursada (Rinde Final)","⚪ Pendiente"))</f>
        <v/>
      </c>
    </row>
    <row r="30" ht="20" customHeight="1">
      <c r="A30" s="11" t="inlineStr">
        <is>
          <t>PEDAGOGIA "A"</t>
        </is>
      </c>
      <c r="B30" s="9" t="inlineStr">
        <is>
          <t>NO</t>
        </is>
      </c>
      <c r="C30" s="9" t="inlineStr">
        <is>
          <t>NO</t>
        </is>
      </c>
      <c r="D30" s="12" t="inlineStr">
        <is>
          <t>1° Año</t>
        </is>
      </c>
      <c r="E30" s="9">
        <f>IF(OR(B30="SI",B30="SÍ",B30=TRUE),"REGULAR","PENDIENTE")</f>
        <v/>
      </c>
      <c r="F30" s="9">
        <f>IF(OR(C30="SI",C30="SÍ",C30=TRUE),"APROBADA",IF(OR(B30="SI",B30="SÍ",B30=TRUE),"RINDE FINAL","ADEUDA"))</f>
        <v/>
      </c>
      <c r="G30" s="9">
        <f>IF(OR(C30="SI",C30="SÍ",C30=TRUE),"✅ Aprobada",IF(OR(B30="SI",B30="SÍ",B30=TRUE),"⏳ Cursada (Rinde Final)","⚪ Pendiente"))</f>
        <v/>
      </c>
    </row>
    <row r="31" ht="20" customHeight="1">
      <c r="A31" s="8" t="inlineStr">
        <is>
          <t>PEDAGOGIA "B"</t>
        </is>
      </c>
      <c r="B31" s="9" t="inlineStr">
        <is>
          <t>NO</t>
        </is>
      </c>
      <c r="C31" s="9" t="inlineStr">
        <is>
          <t>NO</t>
        </is>
      </c>
      <c r="D31" s="10" t="inlineStr">
        <is>
          <t>1° Año</t>
        </is>
      </c>
      <c r="E31" s="9">
        <f>IF(OR(B31="SI",B31="SÍ",B31=TRUE),"REGULAR","PENDIENTE")</f>
        <v/>
      </c>
      <c r="F31" s="9">
        <f>IF(OR(C31="SI",C31="SÍ",C31=TRUE),"APROBADA",IF(OR(B31="SI",B31="SÍ",B31=TRUE),"RINDE FINAL","ADEUDA"))</f>
        <v/>
      </c>
      <c r="G31" s="9">
        <f>IF(OR(C31="SI",C31="SÍ",C31=TRUE),"✅ Aprobada",IF(OR(B31="SI",B31="SÍ",B31=TRUE),"⏳ Cursada (Rinde Final)","⚪ Pendiente"))</f>
        <v/>
      </c>
    </row>
    <row r="32" ht="20" customHeight="1">
      <c r="A32" s="11" t="inlineStr">
        <is>
          <t>PEDAGOGIA "H"</t>
        </is>
      </c>
      <c r="B32" s="9" t="inlineStr">
        <is>
          <t>NO</t>
        </is>
      </c>
      <c r="C32" s="9" t="inlineStr">
        <is>
          <t>NO</t>
        </is>
      </c>
      <c r="D32" s="12" t="inlineStr">
        <is>
          <t>1° Año</t>
        </is>
      </c>
      <c r="E32" s="9">
        <f>IF(OR(B32="SI",B32="SÍ",B32=TRUE),"REGULAR","PENDIENTE")</f>
        <v/>
      </c>
      <c r="F32" s="9">
        <f>IF(OR(C32="SI",C32="SÍ",C32=TRUE),"APROBADA",IF(OR(B32="SI",B32="SÍ",B32=TRUE),"RINDE FINAL","ADEUDA"))</f>
        <v/>
      </c>
      <c r="G32" s="9">
        <f>IF(OR(C32="SI",C32="SÍ",C32=TRUE),"✅ Aprobada",IF(OR(B32="SI",B32="SÍ",B32=TRUE),"⏳ Cursada (Rinde Final)","⚪ Pendiente"))</f>
        <v/>
      </c>
    </row>
    <row r="33" ht="20" customHeight="1">
      <c r="A33" s="8" t="inlineStr">
        <is>
          <t>PEDAGOGIA "I"</t>
        </is>
      </c>
      <c r="B33" s="9" t="inlineStr">
        <is>
          <t>NO</t>
        </is>
      </c>
      <c r="C33" s="9" t="inlineStr">
        <is>
          <t>NO</t>
        </is>
      </c>
      <c r="D33" s="10" t="inlineStr">
        <is>
          <t>1° Año</t>
        </is>
      </c>
      <c r="E33" s="9">
        <f>IF(OR(B33="SI",B33="SÍ",B33=TRUE),"REGULAR","PENDIENTE")</f>
        <v/>
      </c>
      <c r="F33" s="9">
        <f>IF(OR(C33="SI",C33="SÍ",C33=TRUE),"APROBADA",IF(OR(B33="SI",B33="SÍ",B33=TRUE),"RINDE FINAL","ADEUDA"))</f>
        <v/>
      </c>
      <c r="G33" s="9">
        <f>IF(OR(C33="SI",C33="SÍ",C33=TRUE),"✅ Aprobada",IF(OR(B33="SI",B33="SÍ",B33=TRUE),"⏳ Cursada (Rinde Final)","⚪ Pendiente"))</f>
        <v/>
      </c>
    </row>
    <row r="34" ht="20" customHeight="1">
      <c r="A34" s="11" t="inlineStr">
        <is>
          <t>PEDAGOGÍA "C"</t>
        </is>
      </c>
      <c r="B34" s="9" t="inlineStr">
        <is>
          <t>NO</t>
        </is>
      </c>
      <c r="C34" s="9" t="inlineStr">
        <is>
          <t>NO</t>
        </is>
      </c>
      <c r="D34" s="12" t="inlineStr">
        <is>
          <t>1° Año</t>
        </is>
      </c>
      <c r="E34" s="9">
        <f>IF(OR(B34="SI",B34="SÍ",B34=TRUE),"REGULAR","PENDIENTE")</f>
        <v/>
      </c>
      <c r="F34" s="9">
        <f>IF(OR(C34="SI",C34="SÍ",C34=TRUE),"APROBADA",IF(OR(B34="SI",B34="SÍ",B34=TRUE),"RINDE FINAL","ADEUDA"))</f>
        <v/>
      </c>
      <c r="G34" s="9">
        <f>IF(OR(C34="SI",C34="SÍ",C34=TRUE),"✅ Aprobada",IF(OR(B34="SI",B34="SÍ",B34=TRUE),"⏳ Cursada (Rinde Final)","⚪ Pendiente"))</f>
        <v/>
      </c>
    </row>
    <row r="35" ht="20" customHeight="1">
      <c r="A35" s="8" t="inlineStr">
        <is>
          <t>PRACTICA EN LABORATORIO DE IDIOMAS I "H"</t>
        </is>
      </c>
      <c r="B35" s="9" t="inlineStr">
        <is>
          <t>NO</t>
        </is>
      </c>
      <c r="C35" s="9" t="inlineStr">
        <is>
          <t>NO</t>
        </is>
      </c>
      <c r="D35" s="10" t="inlineStr">
        <is>
          <t>1° Año</t>
        </is>
      </c>
      <c r="E35" s="9">
        <f>IF(OR(B35="SI",B35="SÍ",B35=TRUE),"REGULAR","PENDIENTE")</f>
        <v/>
      </c>
      <c r="F35" s="9">
        <f>IF(OR(C35="SI",C35="SÍ",C35=TRUE),"APROBADA",IF(OR(B35="SI",B35="SÍ",B35=TRUE),"RINDE FINAL","ADEUDA"))</f>
        <v/>
      </c>
      <c r="G35" s="9">
        <f>IF(OR(C35="SI",C35="SÍ",C35=TRUE),"✅ Aprobada",IF(OR(B35="SI",B35="SÍ",B35=TRUE),"⏳ Cursada (Rinde Final)","⚪ Pendiente"))</f>
        <v/>
      </c>
    </row>
    <row r="36" ht="20" customHeight="1">
      <c r="A36" s="11" t="inlineStr">
        <is>
          <t>PRACTICA EN LABORATORIO I "B"</t>
        </is>
      </c>
      <c r="B36" s="9" t="inlineStr">
        <is>
          <t>NO</t>
        </is>
      </c>
      <c r="C36" s="9" t="inlineStr">
        <is>
          <t>NO</t>
        </is>
      </c>
      <c r="D36" s="12" t="inlineStr">
        <is>
          <t>1° Año</t>
        </is>
      </c>
      <c r="E36" s="9">
        <f>IF(OR(B36="SI",B36="SÍ",B36=TRUE),"REGULAR","PENDIENTE")</f>
        <v/>
      </c>
      <c r="F36" s="9">
        <f>IF(OR(C36="SI",C36="SÍ",C36=TRUE),"APROBADA",IF(OR(B36="SI",B36="SÍ",B36=TRUE),"RINDE FINAL","ADEUDA"))</f>
        <v/>
      </c>
      <c r="G36" s="9">
        <f>IF(OR(C36="SI",C36="SÍ",C36=TRUE),"✅ Aprobada",IF(OR(B36="SI",B36="SÍ",B36=TRUE),"⏳ Cursada (Rinde Final)","⚪ Pendiente"))</f>
        <v/>
      </c>
    </row>
    <row r="37" ht="20" customHeight="1">
      <c r="A37" s="8" t="inlineStr">
        <is>
          <t>PRACTICA EN LABORATORIO I "C"</t>
        </is>
      </c>
      <c r="B37" s="9" t="inlineStr">
        <is>
          <t>NO</t>
        </is>
      </c>
      <c r="C37" s="9" t="inlineStr">
        <is>
          <t>NO</t>
        </is>
      </c>
      <c r="D37" s="10" t="inlineStr">
        <is>
          <t>1° Año</t>
        </is>
      </c>
      <c r="E37" s="9">
        <f>IF(OR(B37="SI",B37="SÍ",B37=TRUE),"REGULAR","PENDIENTE")</f>
        <v/>
      </c>
      <c r="F37" s="9">
        <f>IF(OR(C37="SI",C37="SÍ",C37=TRUE),"APROBADA",IF(OR(B37="SI",B37="SÍ",B37=TRUE),"RINDE FINAL","ADEUDA"))</f>
        <v/>
      </c>
      <c r="G37" s="9">
        <f>IF(OR(C37="SI",C37="SÍ",C37=TRUE),"✅ Aprobada",IF(OR(B37="SI",B37="SÍ",B37=TRUE),"⏳ Cursada (Rinde Final)","⚪ Pendiente"))</f>
        <v/>
      </c>
    </row>
    <row r="38" ht="20" customHeight="1">
      <c r="A38" s="11" t="inlineStr">
        <is>
          <t>PRÁCTICA EN LABORATORIO I "A"</t>
        </is>
      </c>
      <c r="B38" s="9" t="inlineStr">
        <is>
          <t>NO</t>
        </is>
      </c>
      <c r="C38" s="9" t="inlineStr">
        <is>
          <t>NO</t>
        </is>
      </c>
      <c r="D38" s="12" t="inlineStr">
        <is>
          <t>1° Año</t>
        </is>
      </c>
      <c r="E38" s="9">
        <f>IF(OR(B38="SI",B38="SÍ",B38=TRUE),"REGULAR","PENDIENTE")</f>
        <v/>
      </c>
      <c r="F38" s="9">
        <f>IF(OR(C38="SI",C38="SÍ",C38=TRUE),"APROBADA",IF(OR(B38="SI",B38="SÍ",B38=TRUE),"RINDE FINAL","ADEUDA"))</f>
        <v/>
      </c>
      <c r="G38" s="9">
        <f>IF(OR(C38="SI",C38="SÍ",C38=TRUE),"✅ Aprobada",IF(OR(B38="SI",B38="SÍ",B38=TRUE),"⏳ Cursada (Rinde Final)","⚪ Pendiente"))</f>
        <v/>
      </c>
    </row>
    <row r="39" ht="20" customHeight="1">
      <c r="A39" s="8" t="inlineStr">
        <is>
          <t>PRÁCTICA EN LABORATORIO I "I"</t>
        </is>
      </c>
      <c r="B39" s="9" t="inlineStr">
        <is>
          <t>NO</t>
        </is>
      </c>
      <c r="C39" s="9" t="inlineStr">
        <is>
          <t>NO</t>
        </is>
      </c>
      <c r="D39" s="10" t="inlineStr">
        <is>
          <t>1° Año</t>
        </is>
      </c>
      <c r="E39" s="9">
        <f>IF(OR(B39="SI",B39="SÍ",B39=TRUE),"REGULAR","PENDIENTE")</f>
        <v/>
      </c>
      <c r="F39" s="9">
        <f>IF(OR(C39="SI",C39="SÍ",C39=TRUE),"APROBADA",IF(OR(B39="SI",B39="SÍ",B39=TRUE),"RINDE FINAL","ADEUDA"))</f>
        <v/>
      </c>
      <c r="G39" s="9">
        <f>IF(OR(C39="SI",C39="SÍ",C39=TRUE),"✅ Aprobada",IF(OR(B39="SI",B39="SÍ",B39=TRUE),"⏳ Cursada (Rinde Final)","⚪ Pendiente"))</f>
        <v/>
      </c>
    </row>
    <row r="40" ht="20" customHeight="1">
      <c r="A40" s="11" t="inlineStr">
        <is>
          <t>PSICOLOGIA EDUCACIONAL "A"</t>
        </is>
      </c>
      <c r="B40" s="9" t="inlineStr">
        <is>
          <t>NO</t>
        </is>
      </c>
      <c r="C40" s="9" t="inlineStr">
        <is>
          <t>NO</t>
        </is>
      </c>
      <c r="D40" s="12" t="inlineStr">
        <is>
          <t>1° Año</t>
        </is>
      </c>
      <c r="E40" s="9">
        <f>IF(OR(B40="SI",B40="SÍ",B40=TRUE),"REGULAR","PENDIENTE")</f>
        <v/>
      </c>
      <c r="F40" s="9">
        <f>IF(OR(C40="SI",C40="SÍ",C40=TRUE),"APROBADA",IF(OR(B40="SI",B40="SÍ",B40=TRUE),"RINDE FINAL","ADEUDA"))</f>
        <v/>
      </c>
      <c r="G40" s="9">
        <f>IF(OR(C40="SI",C40="SÍ",C40=TRUE),"✅ Aprobada",IF(OR(B40="SI",B40="SÍ",B40=TRUE),"⏳ Cursada (Rinde Final)","⚪ Pendiente"))</f>
        <v/>
      </c>
    </row>
    <row r="41" ht="20" customHeight="1">
      <c r="A41" s="8" t="inlineStr">
        <is>
          <t>PSICOLOGIA EDUCACIONAL "B"</t>
        </is>
      </c>
      <c r="B41" s="9" t="inlineStr">
        <is>
          <t>NO</t>
        </is>
      </c>
      <c r="C41" s="9" t="inlineStr">
        <is>
          <t>NO</t>
        </is>
      </c>
      <c r="D41" s="10" t="inlineStr">
        <is>
          <t>1° Año</t>
        </is>
      </c>
      <c r="E41" s="9">
        <f>IF(OR(B41="SI",B41="SÍ",B41=TRUE),"REGULAR","PENDIENTE")</f>
        <v/>
      </c>
      <c r="F41" s="9">
        <f>IF(OR(C41="SI",C41="SÍ",C41=TRUE),"APROBADA",IF(OR(B41="SI",B41="SÍ",B41=TRUE),"RINDE FINAL","ADEUDA"))</f>
        <v/>
      </c>
      <c r="G41" s="9">
        <f>IF(OR(C41="SI",C41="SÍ",C41=TRUE),"✅ Aprobada",IF(OR(B41="SI",B41="SÍ",B41=TRUE),"⏳ Cursada (Rinde Final)","⚪ Pendiente"))</f>
        <v/>
      </c>
    </row>
    <row r="42" ht="20" customHeight="1">
      <c r="A42" s="11" t="inlineStr">
        <is>
          <t>PSICOLOGIA EDUCACIONAL "C"</t>
        </is>
      </c>
      <c r="B42" s="9" t="inlineStr">
        <is>
          <t>NO</t>
        </is>
      </c>
      <c r="C42" s="9" t="inlineStr">
        <is>
          <t>NO</t>
        </is>
      </c>
      <c r="D42" s="12" t="inlineStr">
        <is>
          <t>1° Año</t>
        </is>
      </c>
      <c r="E42" s="9">
        <f>IF(OR(B42="SI",B42="SÍ",B42=TRUE),"REGULAR","PENDIENTE")</f>
        <v/>
      </c>
      <c r="F42" s="9">
        <f>IF(OR(C42="SI",C42="SÍ",C42=TRUE),"APROBADA",IF(OR(B42="SI",B42="SÍ",B42=TRUE),"RINDE FINAL","ADEUDA"))</f>
        <v/>
      </c>
      <c r="G42" s="9">
        <f>IF(OR(C42="SI",C42="SÍ",C42=TRUE),"✅ Aprobada",IF(OR(B42="SI",B42="SÍ",B42=TRUE),"⏳ Cursada (Rinde Final)","⚪ Pendiente"))</f>
        <v/>
      </c>
    </row>
    <row r="43" ht="20" customHeight="1">
      <c r="A43" s="8" t="inlineStr">
        <is>
          <t>PSICOLOGIA EDUCACIONAL "H"</t>
        </is>
      </c>
      <c r="B43" s="9" t="inlineStr">
        <is>
          <t>NO</t>
        </is>
      </c>
      <c r="C43" s="9" t="inlineStr">
        <is>
          <t>NO</t>
        </is>
      </c>
      <c r="D43" s="10" t="inlineStr">
        <is>
          <t>1° Año</t>
        </is>
      </c>
      <c r="E43" s="9">
        <f>IF(OR(B43="SI",B43="SÍ",B43=TRUE),"REGULAR","PENDIENTE")</f>
        <v/>
      </c>
      <c r="F43" s="9">
        <f>IF(OR(C43="SI",C43="SÍ",C43=TRUE),"APROBADA",IF(OR(B43="SI",B43="SÍ",B43=TRUE),"RINDE FINAL","ADEUDA"))</f>
        <v/>
      </c>
      <c r="G43" s="9">
        <f>IF(OR(C43="SI",C43="SÍ",C43=TRUE),"✅ Aprobada",IF(OR(B43="SI",B43="SÍ",B43=TRUE),"⏳ Cursada (Rinde Final)","⚪ Pendiente"))</f>
        <v/>
      </c>
    </row>
    <row r="44" ht="20" customHeight="1">
      <c r="A44" s="11" t="inlineStr">
        <is>
          <t>PSICOLOGIA EDUCACIONAL "I"</t>
        </is>
      </c>
      <c r="B44" s="9" t="inlineStr">
        <is>
          <t>NO</t>
        </is>
      </c>
      <c r="C44" s="9" t="inlineStr">
        <is>
          <t>NO</t>
        </is>
      </c>
      <c r="D44" s="12" t="inlineStr">
        <is>
          <t>1° Año</t>
        </is>
      </c>
      <c r="E44" s="9">
        <f>IF(OR(B44="SI",B44="SÍ",B44=TRUE),"REGULAR","PENDIENTE")</f>
        <v/>
      </c>
      <c r="F44" s="9">
        <f>IF(OR(C44="SI",C44="SÍ",C44=TRUE),"APROBADA",IF(OR(B44="SI",B44="SÍ",B44=TRUE),"RINDE FINAL","ADEUDA"))</f>
        <v/>
      </c>
      <c r="G44" s="9">
        <f>IF(OR(C44="SI",C44="SÍ",C44=TRUE),"✅ Aprobada",IF(OR(B44="SI",B44="SÍ",B44=TRUE),"⏳ Cursada (Rinde Final)","⚪ Pendiente"))</f>
        <v/>
      </c>
    </row>
    <row r="45" ht="20" customHeight="1">
      <c r="A45" s="8" t="inlineStr">
        <is>
          <t>SUJETOS DE NIVEL "C"</t>
        </is>
      </c>
      <c r="B45" s="9" t="inlineStr">
        <is>
          <t>NO</t>
        </is>
      </c>
      <c r="C45" s="9" t="inlineStr">
        <is>
          <t>NO</t>
        </is>
      </c>
      <c r="D45" s="10" t="inlineStr">
        <is>
          <t>1° Año</t>
        </is>
      </c>
      <c r="E45" s="9">
        <f>IF(OR(B45="SI",B45="SÍ",B45=TRUE),"REGULAR","PENDIENTE")</f>
        <v/>
      </c>
      <c r="F45" s="9">
        <f>IF(OR(C45="SI",C45="SÍ",C45=TRUE),"APROBADA",IF(OR(B45="SI",B45="SÍ",B45=TRUE),"RINDE FINAL","ADEUDA"))</f>
        <v/>
      </c>
      <c r="G45" s="9">
        <f>IF(OR(C45="SI",C45="SÍ",C45=TRUE),"✅ Aprobada",IF(OR(B45="SI",B45="SÍ",B45=TRUE),"⏳ Cursada (Rinde Final)","⚪ Pendiente"))</f>
        <v/>
      </c>
    </row>
    <row r="46" ht="20" customHeight="1">
      <c r="A46" s="11" t="inlineStr">
        <is>
          <t>SUJETOS DEL NIVEL "A"</t>
        </is>
      </c>
      <c r="B46" s="9" t="inlineStr">
        <is>
          <t>NO</t>
        </is>
      </c>
      <c r="C46" s="9" t="inlineStr">
        <is>
          <t>NO</t>
        </is>
      </c>
      <c r="D46" s="12" t="inlineStr">
        <is>
          <t>1° Año</t>
        </is>
      </c>
      <c r="E46" s="9">
        <f>IF(OR(B46="SI",B46="SÍ",B46=TRUE),"REGULAR","PENDIENTE")</f>
        <v/>
      </c>
      <c r="F46" s="9">
        <f>IF(OR(C46="SI",C46="SÍ",C46=TRUE),"APROBADA",IF(OR(B46="SI",B46="SÍ",B46=TRUE),"RINDE FINAL","ADEUDA"))</f>
        <v/>
      </c>
      <c r="G46" s="9">
        <f>IF(OR(C46="SI",C46="SÍ",C46=TRUE),"✅ Aprobada",IF(OR(B46="SI",B46="SÍ",B46=TRUE),"⏳ Cursada (Rinde Final)","⚪ Pendiente"))</f>
        <v/>
      </c>
    </row>
    <row r="47" ht="20" customHeight="1">
      <c r="A47" s="8" t="inlineStr">
        <is>
          <t>SUJETOS DEL NIVEL "B"</t>
        </is>
      </c>
      <c r="B47" s="9" t="inlineStr">
        <is>
          <t>NO</t>
        </is>
      </c>
      <c r="C47" s="9" t="inlineStr">
        <is>
          <t>NO</t>
        </is>
      </c>
      <c r="D47" s="10" t="inlineStr">
        <is>
          <t>1° Año</t>
        </is>
      </c>
      <c r="E47" s="9">
        <f>IF(OR(B47="SI",B47="SÍ",B47=TRUE),"REGULAR","PENDIENTE")</f>
        <v/>
      </c>
      <c r="F47" s="9">
        <f>IF(OR(C47="SI",C47="SÍ",C47=TRUE),"APROBADA",IF(OR(B47="SI",B47="SÍ",B47=TRUE),"RINDE FINAL","ADEUDA"))</f>
        <v/>
      </c>
      <c r="G47" s="9">
        <f>IF(OR(C47="SI",C47="SÍ",C47=TRUE),"✅ Aprobada",IF(OR(B47="SI",B47="SÍ",B47=TRUE),"⏳ Cursada (Rinde Final)","⚪ Pendiente"))</f>
        <v/>
      </c>
    </row>
    <row r="48" ht="20" customHeight="1">
      <c r="A48" s="11" t="inlineStr">
        <is>
          <t>SUJETOS DEL NIVEL "H"</t>
        </is>
      </c>
      <c r="B48" s="9" t="inlineStr">
        <is>
          <t>NO</t>
        </is>
      </c>
      <c r="C48" s="9" t="inlineStr">
        <is>
          <t>NO</t>
        </is>
      </c>
      <c r="D48" s="12" t="inlineStr">
        <is>
          <t>1° Año</t>
        </is>
      </c>
      <c r="E48" s="9">
        <f>IF(OR(B48="SI",B48="SÍ",B48=TRUE),"REGULAR","PENDIENTE")</f>
        <v/>
      </c>
      <c r="F48" s="9">
        <f>IF(OR(C48="SI",C48="SÍ",C48=TRUE),"APROBADA",IF(OR(B48="SI",B48="SÍ",B48=TRUE),"RINDE FINAL","ADEUDA"))</f>
        <v/>
      </c>
      <c r="G48" s="9">
        <f>IF(OR(C48="SI",C48="SÍ",C48=TRUE),"✅ Aprobada",IF(OR(B48="SI",B48="SÍ",B48=TRUE),"⏳ Cursada (Rinde Final)","⚪ Pendiente"))</f>
        <v/>
      </c>
    </row>
    <row r="49" ht="20" customHeight="1">
      <c r="A49" s="8" t="inlineStr">
        <is>
          <t>SUJETOS DEL NIVEL "I"</t>
        </is>
      </c>
      <c r="B49" s="9" t="inlineStr">
        <is>
          <t>NO</t>
        </is>
      </c>
      <c r="C49" s="9" t="inlineStr">
        <is>
          <t>NO</t>
        </is>
      </c>
      <c r="D49" s="10" t="inlineStr">
        <is>
          <t>1° Año</t>
        </is>
      </c>
      <c r="E49" s="9">
        <f>IF(OR(B49="SI",B49="SÍ",B49=TRUE),"REGULAR","PENDIENTE")</f>
        <v/>
      </c>
      <c r="F49" s="9">
        <f>IF(OR(C49="SI",C49="SÍ",C49=TRUE),"APROBADA",IF(OR(B49="SI",B49="SÍ",B49=TRUE),"RINDE FINAL","ADEUDA"))</f>
        <v/>
      </c>
      <c r="G49" s="9">
        <f>IF(OR(C49="SI",C49="SÍ",C49=TRUE),"✅ Aprobada",IF(OR(B49="SI",B49="SÍ",B49=TRUE),"⏳ Cursada (Rinde Final)","⚪ Pendiente"))</f>
        <v/>
      </c>
    </row>
    <row r="50" ht="20" customHeight="1">
      <c r="A50" s="11" t="inlineStr">
        <is>
          <t>TRABAJO DE CAMPO I "A"</t>
        </is>
      </c>
      <c r="B50" s="9" t="inlineStr">
        <is>
          <t>NO</t>
        </is>
      </c>
      <c r="C50" s="9" t="inlineStr">
        <is>
          <t>NO</t>
        </is>
      </c>
      <c r="D50" s="12" t="inlineStr">
        <is>
          <t>1° Año</t>
        </is>
      </c>
      <c r="E50" s="9">
        <f>IF(OR(B50="SI",B50="SÍ",B50=TRUE),"REGULAR","PENDIENTE")</f>
        <v/>
      </c>
      <c r="F50" s="9">
        <f>IF(OR(C50="SI",C50="SÍ",C50=TRUE),"APROBADA",IF(OR(B50="SI",B50="SÍ",B50=TRUE),"RINDE FINAL","ADEUDA"))</f>
        <v/>
      </c>
      <c r="G50" s="9">
        <f>IF(OR(C50="SI",C50="SÍ",C50=TRUE),"✅ Aprobada",IF(OR(B50="SI",B50="SÍ",B50=TRUE),"⏳ Cursada (Rinde Final)","⚪ Pendiente"))</f>
        <v/>
      </c>
    </row>
    <row r="51" ht="20" customHeight="1">
      <c r="A51" s="8" t="inlineStr">
        <is>
          <t>TRABAJO DE CAMPO I "B"</t>
        </is>
      </c>
      <c r="B51" s="9" t="inlineStr">
        <is>
          <t>NO</t>
        </is>
      </c>
      <c r="C51" s="9" t="inlineStr">
        <is>
          <t>NO</t>
        </is>
      </c>
      <c r="D51" s="10" t="inlineStr">
        <is>
          <t>1° Año</t>
        </is>
      </c>
      <c r="E51" s="9">
        <f>IF(OR(B51="SI",B51="SÍ",B51=TRUE),"REGULAR","PENDIENTE")</f>
        <v/>
      </c>
      <c r="F51" s="9">
        <f>IF(OR(C51="SI",C51="SÍ",C51=TRUE),"APROBADA",IF(OR(B51="SI",B51="SÍ",B51=TRUE),"RINDE FINAL","ADEUDA"))</f>
        <v/>
      </c>
      <c r="G51" s="9">
        <f>IF(OR(C51="SI",C51="SÍ",C51=TRUE),"✅ Aprobada",IF(OR(B51="SI",B51="SÍ",B51=TRUE),"⏳ Cursada (Rinde Final)","⚪ Pendiente"))</f>
        <v/>
      </c>
    </row>
    <row r="52" ht="20" customHeight="1">
      <c r="A52" s="11" t="inlineStr">
        <is>
          <t>TRABAJO DE CAMPO I "C"</t>
        </is>
      </c>
      <c r="B52" s="9" t="inlineStr">
        <is>
          <t>NO</t>
        </is>
      </c>
      <c r="C52" s="9" t="inlineStr">
        <is>
          <t>NO</t>
        </is>
      </c>
      <c r="D52" s="12" t="inlineStr">
        <is>
          <t>1° Año</t>
        </is>
      </c>
      <c r="E52" s="9">
        <f>IF(OR(B52="SI",B52="SÍ",B52=TRUE),"REGULAR","PENDIENTE")</f>
        <v/>
      </c>
      <c r="F52" s="9">
        <f>IF(OR(C52="SI",C52="SÍ",C52=TRUE),"APROBADA",IF(OR(B52="SI",B52="SÍ",B52=TRUE),"RINDE FINAL","ADEUDA"))</f>
        <v/>
      </c>
      <c r="G52" s="9">
        <f>IF(OR(C52="SI",C52="SÍ",C52=TRUE),"✅ Aprobada",IF(OR(B52="SI",B52="SÍ",B52=TRUE),"⏳ Cursada (Rinde Final)","⚪ Pendiente"))</f>
        <v/>
      </c>
    </row>
    <row r="53" ht="20" customHeight="1">
      <c r="A53" s="8" t="inlineStr">
        <is>
          <t>TRABAJO DE CAMPO I "H"</t>
        </is>
      </c>
      <c r="B53" s="9" t="inlineStr">
        <is>
          <t>NO</t>
        </is>
      </c>
      <c r="C53" s="9" t="inlineStr">
        <is>
          <t>NO</t>
        </is>
      </c>
      <c r="D53" s="10" t="inlineStr">
        <is>
          <t>1° Año</t>
        </is>
      </c>
      <c r="E53" s="9">
        <f>IF(OR(B53="SI",B53="SÍ",B53=TRUE),"REGULAR","PENDIENTE")</f>
        <v/>
      </c>
      <c r="F53" s="9">
        <f>IF(OR(C53="SI",C53="SÍ",C53=TRUE),"APROBADA",IF(OR(B53="SI",B53="SÍ",B53=TRUE),"RINDE FINAL","ADEUDA"))</f>
        <v/>
      </c>
      <c r="G53" s="9">
        <f>IF(OR(C53="SI",C53="SÍ",C53=TRUE),"✅ Aprobada",IF(OR(B53="SI",B53="SÍ",B53=TRUE),"⏳ Cursada (Rinde Final)","⚪ Pendiente"))</f>
        <v/>
      </c>
    </row>
    <row r="54" ht="20" customHeight="1">
      <c r="A54" s="11" t="inlineStr">
        <is>
          <t>TRABAJO DE CAMPO I "I"</t>
        </is>
      </c>
      <c r="B54" s="9" t="inlineStr">
        <is>
          <t>NO</t>
        </is>
      </c>
      <c r="C54" s="9" t="inlineStr">
        <is>
          <t>NO</t>
        </is>
      </c>
      <c r="D54" s="12" t="inlineStr">
        <is>
          <t>1° Año</t>
        </is>
      </c>
      <c r="E54" s="9">
        <f>IF(OR(B54="SI",B54="SÍ",B54=TRUE),"REGULAR","PENDIENTE")</f>
        <v/>
      </c>
      <c r="F54" s="9">
        <f>IF(OR(C54="SI",C54="SÍ",C54=TRUE),"APROBADA",IF(OR(B54="SI",B54="SÍ",B54=TRUE),"RINDE FINAL","ADEUDA"))</f>
        <v/>
      </c>
      <c r="G54" s="9">
        <f>IF(OR(C54="SI",C54="SÍ",C54=TRUE),"✅ Aprobada",IF(OR(B54="SI",B54="SÍ",B54=TRUE),"⏳ Cursada (Rinde Final)","⚪ Pendiente"))</f>
        <v/>
      </c>
    </row>
    <row r="55" ht="24" customHeight="1">
      <c r="A55" s="5" t="inlineStr">
        <is>
          <t>📌 2° AÑO</t>
        </is>
      </c>
    </row>
    <row r="56" ht="20" customHeight="1">
      <c r="A56" s="11" t="inlineStr">
        <is>
          <t>ANALISIS DEL DISCURSO "A"</t>
        </is>
      </c>
      <c r="B56" s="9" t="inlineStr">
        <is>
          <t>NO</t>
        </is>
      </c>
      <c r="C56" s="9" t="inlineStr">
        <is>
          <t>NO</t>
        </is>
      </c>
      <c r="D56" s="12" t="inlineStr">
        <is>
          <t>2° Año</t>
        </is>
      </c>
      <c r="E56" s="9">
        <f>IF(OR(B56="SI",B56="SÍ",B56=TRUE),"REGULAR","PENDIENTE")</f>
        <v/>
      </c>
      <c r="F56" s="9">
        <f>IF(OR(C56="SI",C56="SÍ",C56=TRUE),"APROBADA",IF(OR(B56="SI",B56="SÍ",B56=TRUE),"RINDE FINAL","ADEUDA"))</f>
        <v/>
      </c>
      <c r="G56" s="9">
        <f>IF(OR(C56="SI",C56="SÍ",C56=TRUE),"✅ Aprobada",IF(OR(B56="SI",B56="SÍ",B56=TRUE),"⏳ Cursada (Rinde Final)","⚪ Pendiente"))</f>
        <v/>
      </c>
    </row>
    <row r="57" ht="20" customHeight="1">
      <c r="A57" s="8" t="inlineStr">
        <is>
          <t>ANALISIS DEL DISCURSO "B"</t>
        </is>
      </c>
      <c r="B57" s="9" t="inlineStr">
        <is>
          <t>NO</t>
        </is>
      </c>
      <c r="C57" s="9" t="inlineStr">
        <is>
          <t>NO</t>
        </is>
      </c>
      <c r="D57" s="10" t="inlineStr">
        <is>
          <t>2° Año</t>
        </is>
      </c>
      <c r="E57" s="9">
        <f>IF(OR(B57="SI",B57="SÍ",B57=TRUE),"REGULAR","PENDIENTE")</f>
        <v/>
      </c>
      <c r="F57" s="9">
        <f>IF(OR(C57="SI",C57="SÍ",C57=TRUE),"APROBADA",IF(OR(B57="SI",B57="SÍ",B57=TRUE),"RINDE FINAL","ADEUDA"))</f>
        <v/>
      </c>
      <c r="G57" s="9">
        <f>IF(OR(C57="SI",C57="SÍ",C57=TRUE),"✅ Aprobada",IF(OR(B57="SI",B57="SÍ",B57=TRUE),"⏳ Cursada (Rinde Final)","⚪ Pendiente"))</f>
        <v/>
      </c>
    </row>
    <row r="58" ht="20" customHeight="1">
      <c r="A58" s="11" t="inlineStr">
        <is>
          <t>CONST.PRACT.DOC. NIV.INIC.Y PRIM I "A"</t>
        </is>
      </c>
      <c r="B58" s="9" t="inlineStr">
        <is>
          <t>NO</t>
        </is>
      </c>
      <c r="C58" s="9" t="inlineStr">
        <is>
          <t>NO</t>
        </is>
      </c>
      <c r="D58" s="12" t="inlineStr">
        <is>
          <t>2° Año</t>
        </is>
      </c>
      <c r="E58" s="9">
        <f>IF(OR(B58="SI",B58="SÍ",B58=TRUE),"REGULAR","PENDIENTE")</f>
        <v/>
      </c>
      <c r="F58" s="9">
        <f>IF(OR(C58="SI",C58="SÍ",C58=TRUE),"APROBADA",IF(OR(B58="SI",B58="SÍ",B58=TRUE),"RINDE FINAL","ADEUDA"))</f>
        <v/>
      </c>
      <c r="G58" s="9">
        <f>IF(OR(C58="SI",C58="SÍ",C58=TRUE),"✅ Aprobada",IF(OR(B58="SI",B58="SÍ",B58=TRUE),"⏳ Cursada (Rinde Final)","⚪ Pendiente"))</f>
        <v/>
      </c>
    </row>
    <row r="59" ht="20" customHeight="1">
      <c r="A59" s="8" t="inlineStr">
        <is>
          <t>CONST.PRACT.DOC.N INIC. Y PRIM I "C"</t>
        </is>
      </c>
      <c r="B59" s="9" t="inlineStr">
        <is>
          <t>NO</t>
        </is>
      </c>
      <c r="C59" s="9" t="inlineStr">
        <is>
          <t>NO</t>
        </is>
      </c>
      <c r="D59" s="10" t="inlineStr">
        <is>
          <t>2° Año</t>
        </is>
      </c>
      <c r="E59" s="9">
        <f>IF(OR(B59="SI",B59="SÍ",B59=TRUE),"REGULAR","PENDIENTE")</f>
        <v/>
      </c>
      <c r="F59" s="9">
        <f>IF(OR(C59="SI",C59="SÍ",C59=TRUE),"APROBADA",IF(OR(B59="SI",B59="SÍ",B59=TRUE),"RINDE FINAL","ADEUDA"))</f>
        <v/>
      </c>
      <c r="G59" s="9">
        <f>IF(OR(C59="SI",C59="SÍ",C59=TRUE),"✅ Aprobada",IF(OR(B59="SI",B59="SÍ",B59=TRUE),"⏳ Cursada (Rinde Final)","⚪ Pendiente"))</f>
        <v/>
      </c>
    </row>
    <row r="60" ht="20" customHeight="1">
      <c r="A60" s="11" t="inlineStr">
        <is>
          <t>DIDACTICA GENERAL "A"</t>
        </is>
      </c>
      <c r="B60" s="9" t="inlineStr">
        <is>
          <t>NO</t>
        </is>
      </c>
      <c r="C60" s="9" t="inlineStr">
        <is>
          <t>NO</t>
        </is>
      </c>
      <c r="D60" s="12" t="inlineStr">
        <is>
          <t>2° Año</t>
        </is>
      </c>
      <c r="E60" s="9">
        <f>IF(OR(B60="SI",B60="SÍ",B60=TRUE),"REGULAR","PENDIENTE")</f>
        <v/>
      </c>
      <c r="F60" s="9">
        <f>IF(OR(C60="SI",C60="SÍ",C60=TRUE),"APROBADA",IF(OR(B60="SI",B60="SÍ",B60=TRUE),"RINDE FINAL","ADEUDA"))</f>
        <v/>
      </c>
      <c r="G60" s="9">
        <f>IF(OR(C60="SI",C60="SÍ",C60=TRUE),"✅ Aprobada",IF(OR(B60="SI",B60="SÍ",B60=TRUE),"⏳ Cursada (Rinde Final)","⚪ Pendiente"))</f>
        <v/>
      </c>
    </row>
    <row r="61" ht="20" customHeight="1">
      <c r="A61" s="8" t="inlineStr">
        <is>
          <t>DIDACTICA GENERAL "B"</t>
        </is>
      </c>
      <c r="B61" s="9" t="inlineStr">
        <is>
          <t>NO</t>
        </is>
      </c>
      <c r="C61" s="9" t="inlineStr">
        <is>
          <t>NO</t>
        </is>
      </c>
      <c r="D61" s="10" t="inlineStr">
        <is>
          <t>2° Año</t>
        </is>
      </c>
      <c r="E61" s="9">
        <f>IF(OR(B61="SI",B61="SÍ",B61=TRUE),"REGULAR","PENDIENTE")</f>
        <v/>
      </c>
      <c r="F61" s="9">
        <f>IF(OR(C61="SI",C61="SÍ",C61=TRUE),"APROBADA",IF(OR(B61="SI",B61="SÍ",B61=TRUE),"RINDE FINAL","ADEUDA"))</f>
        <v/>
      </c>
      <c r="G61" s="9">
        <f>IF(OR(C61="SI",C61="SÍ",C61=TRUE),"✅ Aprobada",IF(OR(B61="SI",B61="SÍ",B61=TRUE),"⏳ Cursada (Rinde Final)","⚪ Pendiente"))</f>
        <v/>
      </c>
    </row>
    <row r="62" ht="20" customHeight="1">
      <c r="A62" s="11" t="inlineStr">
        <is>
          <t>DIDACTICA GENERAL "C"</t>
        </is>
      </c>
      <c r="B62" s="9" t="inlineStr">
        <is>
          <t>NO</t>
        </is>
      </c>
      <c r="C62" s="9" t="inlineStr">
        <is>
          <t>NO</t>
        </is>
      </c>
      <c r="D62" s="12" t="inlineStr">
        <is>
          <t>2° Año</t>
        </is>
      </c>
      <c r="E62" s="9">
        <f>IF(OR(B62="SI",B62="SÍ",B62=TRUE),"REGULAR","PENDIENTE")</f>
        <v/>
      </c>
      <c r="F62" s="9">
        <f>IF(OR(C62="SI",C62="SÍ",C62=TRUE),"APROBADA",IF(OR(B62="SI",B62="SÍ",B62=TRUE),"RINDE FINAL","ADEUDA"))</f>
        <v/>
      </c>
      <c r="G62" s="9">
        <f>IF(OR(C62="SI",C62="SÍ",C62=TRUE),"✅ Aprobada",IF(OR(B62="SI",B62="SÍ",B62=TRUE),"⏳ Cursada (Rinde Final)","⚪ Pendiente"))</f>
        <v/>
      </c>
    </row>
    <row r="63" ht="20" customHeight="1">
      <c r="A63" s="8" t="inlineStr">
        <is>
          <t>FONETICA Y FONOLOGIA II "A"</t>
        </is>
      </c>
      <c r="B63" s="9" t="inlineStr">
        <is>
          <t>NO</t>
        </is>
      </c>
      <c r="C63" s="9" t="inlineStr">
        <is>
          <t>NO</t>
        </is>
      </c>
      <c r="D63" s="10" t="inlineStr">
        <is>
          <t>2° Año</t>
        </is>
      </c>
      <c r="E63" s="9">
        <f>IF(OR(B63="SI",B63="SÍ",B63=TRUE),"REGULAR","PENDIENTE")</f>
        <v/>
      </c>
      <c r="F63" s="9">
        <f>IF(OR(C63="SI",C63="SÍ",C63=TRUE),"APROBADA",IF(OR(B63="SI",B63="SÍ",B63=TRUE),"RINDE FINAL","ADEUDA"))</f>
        <v/>
      </c>
      <c r="G63" s="9">
        <f>IF(OR(C63="SI",C63="SÍ",C63=TRUE),"✅ Aprobada",IF(OR(B63="SI",B63="SÍ",B63=TRUE),"⏳ Cursada (Rinde Final)","⚪ Pendiente"))</f>
        <v/>
      </c>
    </row>
    <row r="64" ht="20" customHeight="1">
      <c r="A64" s="11" t="inlineStr">
        <is>
          <t>FONETICA Y FONOLOGIA II "B"</t>
        </is>
      </c>
      <c r="B64" s="9" t="inlineStr">
        <is>
          <t>NO</t>
        </is>
      </c>
      <c r="C64" s="9" t="inlineStr">
        <is>
          <t>NO</t>
        </is>
      </c>
      <c r="D64" s="12" t="inlineStr">
        <is>
          <t>2° Año</t>
        </is>
      </c>
      <c r="E64" s="9">
        <f>IF(OR(B64="SI",B64="SÍ",B64=TRUE),"REGULAR","PENDIENTE")</f>
        <v/>
      </c>
      <c r="F64" s="9">
        <f>IF(OR(C64="SI",C64="SÍ",C64=TRUE),"APROBADA",IF(OR(B64="SI",B64="SÍ",B64=TRUE),"RINDE FINAL","ADEUDA"))</f>
        <v/>
      </c>
      <c r="G64" s="9">
        <f>IF(OR(C64="SI",C64="SÍ",C64=TRUE),"✅ Aprobada",IF(OR(B64="SI",B64="SÍ",B64=TRUE),"⏳ Cursada (Rinde Final)","⚪ Pendiente"))</f>
        <v/>
      </c>
    </row>
    <row r="65" ht="20" customHeight="1">
      <c r="A65" s="8" t="inlineStr">
        <is>
          <t>FONETICA Y FONOLOGIA II "C"</t>
        </is>
      </c>
      <c r="B65" s="9" t="inlineStr">
        <is>
          <t>NO</t>
        </is>
      </c>
      <c r="C65" s="9" t="inlineStr">
        <is>
          <t>NO</t>
        </is>
      </c>
      <c r="D65" s="10" t="inlineStr">
        <is>
          <t>2° Año</t>
        </is>
      </c>
      <c r="E65" s="9">
        <f>IF(OR(B65="SI",B65="SÍ",B65=TRUE),"REGULAR","PENDIENTE")</f>
        <v/>
      </c>
      <c r="F65" s="9">
        <f>IF(OR(C65="SI",C65="SÍ",C65=TRUE),"APROBADA",IF(OR(B65="SI",B65="SÍ",B65=TRUE),"RINDE FINAL","ADEUDA"))</f>
        <v/>
      </c>
      <c r="G65" s="9">
        <f>IF(OR(C65="SI",C65="SÍ",C65=TRUE),"✅ Aprobada",IF(OR(B65="SI",B65="SÍ",B65=TRUE),"⏳ Cursada (Rinde Final)","⚪ Pendiente"))</f>
        <v/>
      </c>
    </row>
    <row r="66" ht="20" customHeight="1">
      <c r="A66" s="11" t="inlineStr">
        <is>
          <t>GRAMATICA INGLESA II "A"</t>
        </is>
      </c>
      <c r="B66" s="9" t="inlineStr">
        <is>
          <t>NO</t>
        </is>
      </c>
      <c r="C66" s="9" t="inlineStr">
        <is>
          <t>NO</t>
        </is>
      </c>
      <c r="D66" s="12" t="inlineStr">
        <is>
          <t>2° Año</t>
        </is>
      </c>
      <c r="E66" s="9">
        <f>IF(OR(B66="SI",B66="SÍ",B66=TRUE),"REGULAR","PENDIENTE")</f>
        <v/>
      </c>
      <c r="F66" s="9">
        <f>IF(OR(C66="SI",C66="SÍ",C66=TRUE),"APROBADA",IF(OR(B66="SI",B66="SÍ",B66=TRUE),"RINDE FINAL","ADEUDA"))</f>
        <v/>
      </c>
      <c r="G66" s="9">
        <f>IF(OR(C66="SI",C66="SÍ",C66=TRUE),"✅ Aprobada",IF(OR(B66="SI",B66="SÍ",B66=TRUE),"⏳ Cursada (Rinde Final)","⚪ Pendiente"))</f>
        <v/>
      </c>
    </row>
    <row r="67" ht="20" customHeight="1">
      <c r="A67" s="8" t="inlineStr">
        <is>
          <t>GRAMATICA INGLESA II "B"</t>
        </is>
      </c>
      <c r="B67" s="9" t="inlineStr">
        <is>
          <t>NO</t>
        </is>
      </c>
      <c r="C67" s="9" t="inlineStr">
        <is>
          <t>NO</t>
        </is>
      </c>
      <c r="D67" s="10" t="inlineStr">
        <is>
          <t>2° Año</t>
        </is>
      </c>
      <c r="E67" s="9">
        <f>IF(OR(B67="SI",B67="SÍ",B67=TRUE),"REGULAR","PENDIENTE")</f>
        <v/>
      </c>
      <c r="F67" s="9">
        <f>IF(OR(C67="SI",C67="SÍ",C67=TRUE),"APROBADA",IF(OR(B67="SI",B67="SÍ",B67=TRUE),"RINDE FINAL","ADEUDA"))</f>
        <v/>
      </c>
      <c r="G67" s="9">
        <f>IF(OR(C67="SI",C67="SÍ",C67=TRUE),"✅ Aprobada",IF(OR(B67="SI",B67="SÍ",B67=TRUE),"⏳ Cursada (Rinde Final)","⚪ Pendiente"))</f>
        <v/>
      </c>
    </row>
    <row r="68" ht="20" customHeight="1">
      <c r="A68" s="11" t="inlineStr">
        <is>
          <t>GRAMATICA INGLESA II "C"</t>
        </is>
      </c>
      <c r="B68" s="9" t="inlineStr">
        <is>
          <t>NO</t>
        </is>
      </c>
      <c r="C68" s="9" t="inlineStr">
        <is>
          <t>NO</t>
        </is>
      </c>
      <c r="D68" s="12" t="inlineStr">
        <is>
          <t>2° Año</t>
        </is>
      </c>
      <c r="E68" s="9">
        <f>IF(OR(B68="SI",B68="SÍ",B68=TRUE),"REGULAR","PENDIENTE")</f>
        <v/>
      </c>
      <c r="F68" s="9">
        <f>IF(OR(C68="SI",C68="SÍ",C68=TRUE),"APROBADA",IF(OR(B68="SI",B68="SÍ",B68=TRUE),"RINDE FINAL","ADEUDA"))</f>
        <v/>
      </c>
      <c r="G68" s="9">
        <f>IF(OR(C68="SI",C68="SÍ",C68=TRUE),"✅ Aprobada",IF(OR(B68="SI",B68="SÍ",B68=TRUE),"⏳ Cursada (Rinde Final)","⚪ Pendiente"))</f>
        <v/>
      </c>
    </row>
    <row r="69" ht="20" customHeight="1">
      <c r="A69" s="8" t="inlineStr">
        <is>
          <t>HISTORIA DE LA CIVILIZACION INGLESA I "B"</t>
        </is>
      </c>
      <c r="B69" s="9" t="inlineStr">
        <is>
          <t>NO</t>
        </is>
      </c>
      <c r="C69" s="9" t="inlineStr">
        <is>
          <t>NO</t>
        </is>
      </c>
      <c r="D69" s="10" t="inlineStr">
        <is>
          <t>2° Año</t>
        </is>
      </c>
      <c r="E69" s="9">
        <f>IF(OR(B69="SI",B69="SÍ",B69=TRUE),"REGULAR","PENDIENTE")</f>
        <v/>
      </c>
      <c r="F69" s="9">
        <f>IF(OR(C69="SI",C69="SÍ",C69=TRUE),"APROBADA",IF(OR(B69="SI",B69="SÍ",B69=TRUE),"RINDE FINAL","ADEUDA"))</f>
        <v/>
      </c>
      <c r="G69" s="9">
        <f>IF(OR(C69="SI",C69="SÍ",C69=TRUE),"✅ Aprobada",IF(OR(B69="SI",B69="SÍ",B69=TRUE),"⏳ Cursada (Rinde Final)","⚪ Pendiente"))</f>
        <v/>
      </c>
    </row>
    <row r="70" ht="20" customHeight="1">
      <c r="A70" s="11" t="inlineStr">
        <is>
          <t>HISTORIA DE LA CIVILIZACION INGLESA I "C"</t>
        </is>
      </c>
      <c r="B70" s="9" t="inlineStr">
        <is>
          <t>NO</t>
        </is>
      </c>
      <c r="C70" s="9" t="inlineStr">
        <is>
          <t>NO</t>
        </is>
      </c>
      <c r="D70" s="12" t="inlineStr">
        <is>
          <t>2° Año</t>
        </is>
      </c>
      <c r="E70" s="9">
        <f>IF(OR(B70="SI",B70="SÍ",B70=TRUE),"REGULAR","PENDIENTE")</f>
        <v/>
      </c>
      <c r="F70" s="9">
        <f>IF(OR(C70="SI",C70="SÍ",C70=TRUE),"APROBADA",IF(OR(B70="SI",B70="SÍ",B70=TRUE),"RINDE FINAL","ADEUDA"))</f>
        <v/>
      </c>
      <c r="G70" s="9">
        <f>IF(OR(C70="SI",C70="SÍ",C70=TRUE),"✅ Aprobada",IF(OR(B70="SI",B70="SÍ",B70=TRUE),"⏳ Cursada (Rinde Final)","⚪ Pendiente"))</f>
        <v/>
      </c>
    </row>
    <row r="71" ht="20" customHeight="1">
      <c r="A71" s="8" t="inlineStr">
        <is>
          <t>HISTORIA DE LA CIVILIZACIÓN INGLESA I "A"</t>
        </is>
      </c>
      <c r="B71" s="9" t="inlineStr">
        <is>
          <t>NO</t>
        </is>
      </c>
      <c r="C71" s="9" t="inlineStr">
        <is>
          <t>NO</t>
        </is>
      </c>
      <c r="D71" s="10" t="inlineStr">
        <is>
          <t>2° Año</t>
        </is>
      </c>
      <c r="E71" s="9">
        <f>IF(OR(B71="SI",B71="SÍ",B71=TRUE),"REGULAR","PENDIENTE")</f>
        <v/>
      </c>
      <c r="F71" s="9">
        <f>IF(OR(C71="SI",C71="SÍ",C71=TRUE),"APROBADA",IF(OR(B71="SI",B71="SÍ",B71=TRUE),"RINDE FINAL","ADEUDA"))</f>
        <v/>
      </c>
      <c r="G71" s="9">
        <f>IF(OR(C71="SI",C71="SÍ",C71=TRUE),"✅ Aprobada",IF(OR(B71="SI",B71="SÍ",B71=TRUE),"⏳ Cursada (Rinde Final)","⚪ Pendiente"))</f>
        <v/>
      </c>
    </row>
    <row r="72" ht="20" customHeight="1">
      <c r="A72" s="11" t="inlineStr">
        <is>
          <t>LENGUA INGLESA II "A"</t>
        </is>
      </c>
      <c r="B72" s="9" t="inlineStr">
        <is>
          <t>NO</t>
        </is>
      </c>
      <c r="C72" s="9" t="inlineStr">
        <is>
          <t>NO</t>
        </is>
      </c>
      <c r="D72" s="12" t="inlineStr">
        <is>
          <t>2° Año</t>
        </is>
      </c>
      <c r="E72" s="9">
        <f>IF(OR(B72="SI",B72="SÍ",B72=TRUE),"REGULAR","PENDIENTE")</f>
        <v/>
      </c>
      <c r="F72" s="9">
        <f>IF(OR(C72="SI",C72="SÍ",C72=TRUE),"APROBADA",IF(OR(B72="SI",B72="SÍ",B72=TRUE),"RINDE FINAL","ADEUDA"))</f>
        <v/>
      </c>
      <c r="G72" s="9">
        <f>IF(OR(C72="SI",C72="SÍ",C72=TRUE),"✅ Aprobada",IF(OR(B72="SI",B72="SÍ",B72=TRUE),"⏳ Cursada (Rinde Final)","⚪ Pendiente"))</f>
        <v/>
      </c>
    </row>
    <row r="73" ht="20" customHeight="1">
      <c r="A73" s="8" t="inlineStr">
        <is>
          <t>LENGUA INGLESA II "B"</t>
        </is>
      </c>
      <c r="B73" s="9" t="inlineStr">
        <is>
          <t>NO</t>
        </is>
      </c>
      <c r="C73" s="9" t="inlineStr">
        <is>
          <t>NO</t>
        </is>
      </c>
      <c r="D73" s="10" t="inlineStr">
        <is>
          <t>2° Año</t>
        </is>
      </c>
      <c r="E73" s="9">
        <f>IF(OR(B73="SI",B73="SÍ",B73=TRUE),"REGULAR","PENDIENTE")</f>
        <v/>
      </c>
      <c r="F73" s="9">
        <f>IF(OR(C73="SI",C73="SÍ",C73=TRUE),"APROBADA",IF(OR(B73="SI",B73="SÍ",B73=TRUE),"RINDE FINAL","ADEUDA"))</f>
        <v/>
      </c>
      <c r="G73" s="9">
        <f>IF(OR(C73="SI",C73="SÍ",C73=TRUE),"✅ Aprobada",IF(OR(B73="SI",B73="SÍ",B73=TRUE),"⏳ Cursada (Rinde Final)","⚪ Pendiente"))</f>
        <v/>
      </c>
    </row>
    <row r="74" ht="20" customHeight="1">
      <c r="A74" s="11" t="inlineStr">
        <is>
          <t>LENGUA INGLESA II "C"</t>
        </is>
      </c>
      <c r="B74" s="9" t="inlineStr">
        <is>
          <t>NO</t>
        </is>
      </c>
      <c r="C74" s="9" t="inlineStr">
        <is>
          <t>NO</t>
        </is>
      </c>
      <c r="D74" s="12" t="inlineStr">
        <is>
          <t>2° Año</t>
        </is>
      </c>
      <c r="E74" s="9">
        <f>IF(OR(B74="SI",B74="SÍ",B74=TRUE),"REGULAR","PENDIENTE")</f>
        <v/>
      </c>
      <c r="F74" s="9">
        <f>IF(OR(C74="SI",C74="SÍ",C74=TRUE),"APROBADA",IF(OR(B74="SI",B74="SÍ",B74=TRUE),"RINDE FINAL","ADEUDA"))</f>
        <v/>
      </c>
      <c r="G74" s="9">
        <f>IF(OR(C74="SI",C74="SÍ",C74=TRUE),"✅ Aprobada",IF(OR(B74="SI",B74="SÍ",B74=TRUE),"⏳ Cursada (Rinde Final)","⚪ Pendiente"))</f>
        <v/>
      </c>
    </row>
    <row r="75" ht="20" customHeight="1">
      <c r="A75" s="8" t="inlineStr">
        <is>
          <t>LENGUA INGLESA II "F"</t>
        </is>
      </c>
      <c r="B75" s="9" t="inlineStr">
        <is>
          <t>NO</t>
        </is>
      </c>
      <c r="C75" s="9" t="inlineStr">
        <is>
          <t>NO</t>
        </is>
      </c>
      <c r="D75" s="10" t="inlineStr">
        <is>
          <t>2° Año</t>
        </is>
      </c>
      <c r="E75" s="9">
        <f>IF(OR(B75="SI",B75="SÍ",B75=TRUE),"REGULAR","PENDIENTE")</f>
        <v/>
      </c>
      <c r="F75" s="9">
        <f>IF(OR(C75="SI",C75="SÍ",C75=TRUE),"APROBADA",IF(OR(B75="SI",B75="SÍ",B75=TRUE),"RINDE FINAL","ADEUDA"))</f>
        <v/>
      </c>
      <c r="G75" s="9">
        <f>IF(OR(C75="SI",C75="SÍ",C75=TRUE),"✅ Aprobada",IF(OR(B75="SI",B75="SÍ",B75=TRUE),"⏳ Cursada (Rinde Final)","⚪ Pendiente"))</f>
        <v/>
      </c>
    </row>
    <row r="76" ht="20" customHeight="1">
      <c r="A76" s="11" t="inlineStr">
        <is>
          <t>LITERATURA INGLESA I "A"</t>
        </is>
      </c>
      <c r="B76" s="9" t="inlineStr">
        <is>
          <t>NO</t>
        </is>
      </c>
      <c r="C76" s="9" t="inlineStr">
        <is>
          <t>NO</t>
        </is>
      </c>
      <c r="D76" s="12" t="inlineStr">
        <is>
          <t>2° Año</t>
        </is>
      </c>
      <c r="E76" s="9">
        <f>IF(OR(B76="SI",B76="SÍ",B76=TRUE),"REGULAR","PENDIENTE")</f>
        <v/>
      </c>
      <c r="F76" s="9">
        <f>IF(OR(C76="SI",C76="SÍ",C76=TRUE),"APROBADA",IF(OR(B76="SI",B76="SÍ",B76=TRUE),"RINDE FINAL","ADEUDA"))</f>
        <v/>
      </c>
      <c r="G76" s="9">
        <f>IF(OR(C76="SI",C76="SÍ",C76=TRUE),"✅ Aprobada",IF(OR(B76="SI",B76="SÍ",B76=TRUE),"⏳ Cursada (Rinde Final)","⚪ Pendiente"))</f>
        <v/>
      </c>
    </row>
    <row r="77" ht="20" customHeight="1">
      <c r="A77" s="8" t="inlineStr">
        <is>
          <t>LITERATURA INGLESA I "B"</t>
        </is>
      </c>
      <c r="B77" s="9" t="inlineStr">
        <is>
          <t>NO</t>
        </is>
      </c>
      <c r="C77" s="9" t="inlineStr">
        <is>
          <t>NO</t>
        </is>
      </c>
      <c r="D77" s="10" t="inlineStr">
        <is>
          <t>2° Año</t>
        </is>
      </c>
      <c r="E77" s="9">
        <f>IF(OR(B77="SI",B77="SÍ",B77=TRUE),"REGULAR","PENDIENTE")</f>
        <v/>
      </c>
      <c r="F77" s="9">
        <f>IF(OR(C77="SI",C77="SÍ",C77=TRUE),"APROBADA",IF(OR(B77="SI",B77="SÍ",B77=TRUE),"RINDE FINAL","ADEUDA"))</f>
        <v/>
      </c>
      <c r="G77" s="9">
        <f>IF(OR(C77="SI",C77="SÍ",C77=TRUE),"✅ Aprobada",IF(OR(B77="SI",B77="SÍ",B77=TRUE),"⏳ Cursada (Rinde Final)","⚪ Pendiente"))</f>
        <v/>
      </c>
    </row>
    <row r="78" ht="20" customHeight="1">
      <c r="A78" s="11" t="inlineStr">
        <is>
          <t>LITERATURA INGLESA I "C"</t>
        </is>
      </c>
      <c r="B78" s="9" t="inlineStr">
        <is>
          <t>NO</t>
        </is>
      </c>
      <c r="C78" s="9" t="inlineStr">
        <is>
          <t>NO</t>
        </is>
      </c>
      <c r="D78" s="12" t="inlineStr">
        <is>
          <t>2° Año</t>
        </is>
      </c>
      <c r="E78" s="9">
        <f>IF(OR(B78="SI",B78="SÍ",B78=TRUE),"REGULAR","PENDIENTE")</f>
        <v/>
      </c>
      <c r="F78" s="9">
        <f>IF(OR(C78="SI",C78="SÍ",C78=TRUE),"APROBADA",IF(OR(B78="SI",B78="SÍ",B78=TRUE),"RINDE FINAL","ADEUDA"))</f>
        <v/>
      </c>
      <c r="G78" s="9">
        <f>IF(OR(C78="SI",C78="SÍ",C78=TRUE),"✅ Aprobada",IF(OR(B78="SI",B78="SÍ",B78=TRUE),"⏳ Cursada (Rinde Final)","⚪ Pendiente"))</f>
        <v/>
      </c>
    </row>
    <row r="79" ht="20" customHeight="1">
      <c r="A79" s="8" t="inlineStr">
        <is>
          <t>PRACTICA EN LABORATORIO DE IDIOMAS II "C"</t>
        </is>
      </c>
      <c r="B79" s="9" t="inlineStr">
        <is>
          <t>NO</t>
        </is>
      </c>
      <c r="C79" s="9" t="inlineStr">
        <is>
          <t>NO</t>
        </is>
      </c>
      <c r="D79" s="10" t="inlineStr">
        <is>
          <t>2° Año</t>
        </is>
      </c>
      <c r="E79" s="9">
        <f>IF(OR(B79="SI",B79="SÍ",B79=TRUE),"REGULAR","PENDIENTE")</f>
        <v/>
      </c>
      <c r="F79" s="9">
        <f>IF(OR(C79="SI",C79="SÍ",C79=TRUE),"APROBADA",IF(OR(B79="SI",B79="SÍ",B79=TRUE),"RINDE FINAL","ADEUDA"))</f>
        <v/>
      </c>
      <c r="G79" s="9">
        <f>IF(OR(C79="SI",C79="SÍ",C79=TRUE),"✅ Aprobada",IF(OR(B79="SI",B79="SÍ",B79=TRUE),"⏳ Cursada (Rinde Final)","⚪ Pendiente"))</f>
        <v/>
      </c>
    </row>
    <row r="80" ht="20" customHeight="1">
      <c r="A80" s="11" t="inlineStr">
        <is>
          <t>PRACTICA EN LABORATORIO II "A"</t>
        </is>
      </c>
      <c r="B80" s="9" t="inlineStr">
        <is>
          <t>NO</t>
        </is>
      </c>
      <c r="C80" s="9" t="inlineStr">
        <is>
          <t>NO</t>
        </is>
      </c>
      <c r="D80" s="12" t="inlineStr">
        <is>
          <t>2° Año</t>
        </is>
      </c>
      <c r="E80" s="9">
        <f>IF(OR(B80="SI",B80="SÍ",B80=TRUE),"REGULAR","PENDIENTE")</f>
        <v/>
      </c>
      <c r="F80" s="9">
        <f>IF(OR(C80="SI",C80="SÍ",C80=TRUE),"APROBADA",IF(OR(B80="SI",B80="SÍ",B80=TRUE),"RINDE FINAL","ADEUDA"))</f>
        <v/>
      </c>
      <c r="G80" s="9">
        <f>IF(OR(C80="SI",C80="SÍ",C80=TRUE),"✅ Aprobada",IF(OR(B80="SI",B80="SÍ",B80=TRUE),"⏳ Cursada (Rinde Final)","⚪ Pendiente"))</f>
        <v/>
      </c>
    </row>
    <row r="81" ht="20" customHeight="1">
      <c r="A81" s="8" t="inlineStr">
        <is>
          <t>PRACTICA EN LABORATORIO II "B"</t>
        </is>
      </c>
      <c r="B81" s="9" t="inlineStr">
        <is>
          <t>NO</t>
        </is>
      </c>
      <c r="C81" s="9" t="inlineStr">
        <is>
          <t>NO</t>
        </is>
      </c>
      <c r="D81" s="10" t="inlineStr">
        <is>
          <t>2° Año</t>
        </is>
      </c>
      <c r="E81" s="9">
        <f>IF(OR(B81="SI",B81="SÍ",B81=TRUE),"REGULAR","PENDIENTE")</f>
        <v/>
      </c>
      <c r="F81" s="9">
        <f>IF(OR(C81="SI",C81="SÍ",C81=TRUE),"APROBADA",IF(OR(B81="SI",B81="SÍ",B81=TRUE),"RINDE FINAL","ADEUDA"))</f>
        <v/>
      </c>
      <c r="G81" s="9">
        <f>IF(OR(C81="SI",C81="SÍ",C81=TRUE),"✅ Aprobada",IF(OR(B81="SI",B81="SÍ",B81=TRUE),"⏳ Cursada (Rinde Final)","⚪ Pendiente"))</f>
        <v/>
      </c>
    </row>
    <row r="82" ht="20" customHeight="1">
      <c r="A82" s="11" t="inlineStr">
        <is>
          <t>TRABAJO DE CAMPO II "A"</t>
        </is>
      </c>
      <c r="B82" s="9" t="inlineStr">
        <is>
          <t>NO</t>
        </is>
      </c>
      <c r="C82" s="9" t="inlineStr">
        <is>
          <t>NO</t>
        </is>
      </c>
      <c r="D82" s="12" t="inlineStr">
        <is>
          <t>2° Año</t>
        </is>
      </c>
      <c r="E82" s="9">
        <f>IF(OR(B82="SI",B82="SÍ",B82=TRUE),"REGULAR","PENDIENTE")</f>
        <v/>
      </c>
      <c r="F82" s="9">
        <f>IF(OR(C82="SI",C82="SÍ",C82=TRUE),"APROBADA",IF(OR(B82="SI",B82="SÍ",B82=TRUE),"RINDE FINAL","ADEUDA"))</f>
        <v/>
      </c>
      <c r="G82" s="9">
        <f>IF(OR(C82="SI",C82="SÍ",C82=TRUE),"✅ Aprobada",IF(OR(B82="SI",B82="SÍ",B82=TRUE),"⏳ Cursada (Rinde Final)","⚪ Pendiente"))</f>
        <v/>
      </c>
    </row>
    <row r="83" ht="20" customHeight="1">
      <c r="A83" s="8" t="inlineStr">
        <is>
          <t>TRABAJO DE CAMPO II "B"</t>
        </is>
      </c>
      <c r="B83" s="9" t="inlineStr">
        <is>
          <t>NO</t>
        </is>
      </c>
      <c r="C83" s="9" t="inlineStr">
        <is>
          <t>NO</t>
        </is>
      </c>
      <c r="D83" s="10" t="inlineStr">
        <is>
          <t>2° Año</t>
        </is>
      </c>
      <c r="E83" s="9">
        <f>IF(OR(B83="SI",B83="SÍ",B83=TRUE),"REGULAR","PENDIENTE")</f>
        <v/>
      </c>
      <c r="F83" s="9">
        <f>IF(OR(C83="SI",C83="SÍ",C83=TRUE),"APROBADA",IF(OR(B83="SI",B83="SÍ",B83=TRUE),"RINDE FINAL","ADEUDA"))</f>
        <v/>
      </c>
      <c r="G83" s="9">
        <f>IF(OR(C83="SI",C83="SÍ",C83=TRUE),"✅ Aprobada",IF(OR(B83="SI",B83="SÍ",B83=TRUE),"⏳ Cursada (Rinde Final)","⚪ Pendiente"))</f>
        <v/>
      </c>
    </row>
    <row r="84" ht="20" customHeight="1">
      <c r="A84" s="11" t="inlineStr">
        <is>
          <t>TRABAJO DE CAMPO II "C"</t>
        </is>
      </c>
      <c r="B84" s="9" t="inlineStr">
        <is>
          <t>NO</t>
        </is>
      </c>
      <c r="C84" s="9" t="inlineStr">
        <is>
          <t>NO</t>
        </is>
      </c>
      <c r="D84" s="12" t="inlineStr">
        <is>
          <t>2° Año</t>
        </is>
      </c>
      <c r="E84" s="9">
        <f>IF(OR(B84="SI",B84="SÍ",B84=TRUE),"REGULAR","PENDIENTE")</f>
        <v/>
      </c>
      <c r="F84" s="9">
        <f>IF(OR(C84="SI",C84="SÍ",C84=TRUE),"APROBADA",IF(OR(B84="SI",B84="SÍ",B84=TRUE),"RINDE FINAL","ADEUDA"))</f>
        <v/>
      </c>
      <c r="G84" s="9">
        <f>IF(OR(C84="SI",C84="SÍ",C84=TRUE),"✅ Aprobada",IF(OR(B84="SI",B84="SÍ",B84=TRUE),"⏳ Cursada (Rinde Final)","⚪ Pendiente"))</f>
        <v/>
      </c>
    </row>
    <row r="85" ht="20" customHeight="1">
      <c r="A85" s="8" t="inlineStr">
        <is>
          <t>TRABAJO DE CAMPO II "H"</t>
        </is>
      </c>
      <c r="B85" s="9" t="inlineStr">
        <is>
          <t>NO</t>
        </is>
      </c>
      <c r="C85" s="9" t="inlineStr">
        <is>
          <t>NO</t>
        </is>
      </c>
      <c r="D85" s="10" t="inlineStr">
        <is>
          <t>2° Año</t>
        </is>
      </c>
      <c r="E85" s="9">
        <f>IF(OR(B85="SI",B85="SÍ",B85=TRUE),"REGULAR","PENDIENTE")</f>
        <v/>
      </c>
      <c r="F85" s="9">
        <f>IF(OR(C85="SI",C85="SÍ",C85=TRUE),"APROBADA",IF(OR(B85="SI",B85="SÍ",B85=TRUE),"RINDE FINAL","ADEUDA"))</f>
        <v/>
      </c>
      <c r="G85" s="9">
        <f>IF(OR(C85="SI",C85="SÍ",C85=TRUE),"✅ Aprobada",IF(OR(B85="SI",B85="SÍ",B85=TRUE),"⏳ Cursada (Rinde Final)","⚪ Pendiente"))</f>
        <v/>
      </c>
    </row>
    <row r="86" ht="24" customHeight="1">
      <c r="A86" s="5" t="inlineStr">
        <is>
          <t>📌 3° AÑO</t>
        </is>
      </c>
    </row>
    <row r="87" ht="20" customHeight="1">
      <c r="A87" s="8" t="inlineStr">
        <is>
          <t>ADQUISICIÓN DE LA LENGUA MATERNA "A"</t>
        </is>
      </c>
      <c r="B87" s="9" t="inlineStr">
        <is>
          <t>NO</t>
        </is>
      </c>
      <c r="C87" s="9" t="inlineStr">
        <is>
          <t>NO</t>
        </is>
      </c>
      <c r="D87" s="10" t="inlineStr">
        <is>
          <t>3° Año</t>
        </is>
      </c>
      <c r="E87" s="9">
        <f>IF(OR(B87="SI",B87="SÍ",B87=TRUE),"REGULAR","PENDIENTE")</f>
        <v/>
      </c>
      <c r="F87" s="9">
        <f>IF(OR(C87="SI",C87="SÍ",C87=TRUE),"APROBADA",IF(OR(B87="SI",B87="SÍ",B87=TRUE),"RINDE FINAL","ADEUDA"))</f>
        <v/>
      </c>
      <c r="G87" s="9">
        <f>IF(OR(C87="SI",C87="SÍ",C87=TRUE),"✅ Aprobada",IF(OR(B87="SI",B87="SÍ",B87=TRUE),"⏳ Cursada (Rinde Final)","⚪ Pendiente"))</f>
        <v/>
      </c>
    </row>
    <row r="88" ht="20" customHeight="1">
      <c r="A88" s="11" t="inlineStr">
        <is>
          <t>CONST. PRACT.DOC. N INIC Y PRIM II Y RES</t>
        </is>
      </c>
      <c r="B88" s="9" t="inlineStr">
        <is>
          <t>NO</t>
        </is>
      </c>
      <c r="C88" s="9" t="inlineStr">
        <is>
          <t>NO</t>
        </is>
      </c>
      <c r="D88" s="12" t="inlineStr">
        <is>
          <t>3° Año</t>
        </is>
      </c>
      <c r="E88" s="9">
        <f>IF(OR(B88="SI",B88="SÍ",B88=TRUE),"REGULAR","PENDIENTE")</f>
        <v/>
      </c>
      <c r="F88" s="9">
        <f>IF(OR(C88="SI",C88="SÍ",C88=TRUE),"APROBADA",IF(OR(B88="SI",B88="SÍ",B88=TRUE),"RINDE FINAL","ADEUDA"))</f>
        <v/>
      </c>
      <c r="G88" s="9">
        <f>IF(OR(C88="SI",C88="SÍ",C88=TRUE),"✅ Aprobada",IF(OR(B88="SI",B88="SÍ",B88=TRUE),"⏳ Cursada (Rinde Final)","⚪ Pendiente"))</f>
        <v/>
      </c>
    </row>
    <row r="89" ht="20" customHeight="1">
      <c r="A89" s="8" t="inlineStr">
        <is>
          <t>CONST.DE LA PRACT.DOC. NIV. INIC Y PRI II Y RESIDENCIA "A"</t>
        </is>
      </c>
      <c r="B89" s="9" t="inlineStr">
        <is>
          <t>NO</t>
        </is>
      </c>
      <c r="C89" s="9" t="inlineStr">
        <is>
          <t>NO</t>
        </is>
      </c>
      <c r="D89" s="10" t="inlineStr">
        <is>
          <t>3° Año</t>
        </is>
      </c>
      <c r="E89" s="9">
        <f>IF(OR(B89="SI",B89="SÍ",B89=TRUE),"REGULAR","PENDIENTE")</f>
        <v/>
      </c>
      <c r="F89" s="9">
        <f>IF(OR(C89="SI",C89="SÍ",C89=TRUE),"APROBADA",IF(OR(B89="SI",B89="SÍ",B89=TRUE),"RINDE FINAL","ADEUDA"))</f>
        <v/>
      </c>
      <c r="G89" s="9">
        <f>IF(OR(C89="SI",C89="SÍ",C89=TRUE),"✅ Aprobada",IF(OR(B89="SI",B89="SÍ",B89=TRUE),"⏳ Cursada (Rinde Final)","⚪ Pendiente"))</f>
        <v/>
      </c>
    </row>
    <row r="90" ht="20" customHeight="1">
      <c r="A90" s="11" t="inlineStr">
        <is>
          <t>CONST.DE LA PRACT.DOC. NIV. MEDIO I "A"</t>
        </is>
      </c>
      <c r="B90" s="9" t="inlineStr">
        <is>
          <t>NO</t>
        </is>
      </c>
      <c r="C90" s="9" t="inlineStr">
        <is>
          <t>NO</t>
        </is>
      </c>
      <c r="D90" s="12" t="inlineStr">
        <is>
          <t>3° Año</t>
        </is>
      </c>
      <c r="E90" s="9">
        <f>IF(OR(B90="SI",B90="SÍ",B90=TRUE),"REGULAR","PENDIENTE")</f>
        <v/>
      </c>
      <c r="F90" s="9">
        <f>IF(OR(C90="SI",C90="SÍ",C90=TRUE),"APROBADA",IF(OR(B90="SI",B90="SÍ",B90=TRUE),"RINDE FINAL","ADEUDA"))</f>
        <v/>
      </c>
      <c r="G90" s="9">
        <f>IF(OR(C90="SI",C90="SÍ",C90=TRUE),"✅ Aprobada",IF(OR(B90="SI",B90="SÍ",B90=TRUE),"⏳ Cursada (Rinde Final)","⚪ Pendiente"))</f>
        <v/>
      </c>
    </row>
    <row r="91" ht="20" customHeight="1">
      <c r="A91" s="8" t="inlineStr">
        <is>
          <t>CONSTR. PRACTICA DOCENTE EN NIVEL MEDIO I "C"</t>
        </is>
      </c>
      <c r="B91" s="9" t="inlineStr">
        <is>
          <t>NO</t>
        </is>
      </c>
      <c r="C91" s="9" t="inlineStr">
        <is>
          <t>NO</t>
        </is>
      </c>
      <c r="D91" s="10" t="inlineStr">
        <is>
          <t>3° Año</t>
        </is>
      </c>
      <c r="E91" s="9">
        <f>IF(OR(B91="SI",B91="SÍ",B91=TRUE),"REGULAR","PENDIENTE")</f>
        <v/>
      </c>
      <c r="F91" s="9">
        <f>IF(OR(C91="SI",C91="SÍ",C91=TRUE),"APROBADA",IF(OR(B91="SI",B91="SÍ",B91=TRUE),"RINDE FINAL","ADEUDA"))</f>
        <v/>
      </c>
      <c r="G91" s="9">
        <f>IF(OR(C91="SI",C91="SÍ",C91=TRUE),"✅ Aprobada",IF(OR(B91="SI",B91="SÍ",B91=TRUE),"⏳ Cursada (Rinde Final)","⚪ Pendiente"))</f>
        <v/>
      </c>
    </row>
    <row r="92" ht="20" customHeight="1">
      <c r="A92" s="11" t="inlineStr">
        <is>
          <t>EDUCACION SEXUAL INTEGRAL "A"</t>
        </is>
      </c>
      <c r="B92" s="9" t="inlineStr">
        <is>
          <t>NO</t>
        </is>
      </c>
      <c r="C92" s="9" t="inlineStr">
        <is>
          <t>NO</t>
        </is>
      </c>
      <c r="D92" s="12" t="inlineStr">
        <is>
          <t>3° Año</t>
        </is>
      </c>
      <c r="E92" s="9">
        <f>IF(OR(B92="SI",B92="SÍ",B92=TRUE),"REGULAR","PENDIENTE")</f>
        <v/>
      </c>
      <c r="F92" s="9">
        <f>IF(OR(C92="SI",C92="SÍ",C92=TRUE),"APROBADA",IF(OR(B92="SI",B92="SÍ",B92=TRUE),"RINDE FINAL","ADEUDA"))</f>
        <v/>
      </c>
      <c r="G92" s="9">
        <f>IF(OR(C92="SI",C92="SÍ",C92=TRUE),"✅ Aprobada",IF(OR(B92="SI",B92="SÍ",B92=TRUE),"⏳ Cursada (Rinde Final)","⚪ Pendiente"))</f>
        <v/>
      </c>
    </row>
    <row r="93" ht="20" customHeight="1">
      <c r="A93" s="8" t="inlineStr">
        <is>
          <t>FILOSOFIA "A"</t>
        </is>
      </c>
      <c r="B93" s="9" t="inlineStr">
        <is>
          <t>NO</t>
        </is>
      </c>
      <c r="C93" s="9" t="inlineStr">
        <is>
          <t>NO</t>
        </is>
      </c>
      <c r="D93" s="10" t="inlineStr">
        <is>
          <t>3° Año</t>
        </is>
      </c>
      <c r="E93" s="9">
        <f>IF(OR(B93="SI",B93="SÍ",B93=TRUE),"REGULAR","PENDIENTE")</f>
        <v/>
      </c>
      <c r="F93" s="9">
        <f>IF(OR(C93="SI",C93="SÍ",C93=TRUE),"APROBADA",IF(OR(B93="SI",B93="SÍ",B93=TRUE),"RINDE FINAL","ADEUDA"))</f>
        <v/>
      </c>
      <c r="G93" s="9">
        <f>IF(OR(C93="SI",C93="SÍ",C93=TRUE),"✅ Aprobada",IF(OR(B93="SI",B93="SÍ",B93=TRUE),"⏳ Cursada (Rinde Final)","⚪ Pendiente"))</f>
        <v/>
      </c>
    </row>
    <row r="94" ht="20" customHeight="1">
      <c r="A94" s="11" t="inlineStr">
        <is>
          <t>FILOSOFIA "C"</t>
        </is>
      </c>
      <c r="B94" s="9" t="inlineStr">
        <is>
          <t>NO</t>
        </is>
      </c>
      <c r="C94" s="9" t="inlineStr">
        <is>
          <t>NO</t>
        </is>
      </c>
      <c r="D94" s="12" t="inlineStr">
        <is>
          <t>3° Año</t>
        </is>
      </c>
      <c r="E94" s="9">
        <f>IF(OR(B94="SI",B94="SÍ",B94=TRUE),"REGULAR","PENDIENTE")</f>
        <v/>
      </c>
      <c r="F94" s="9">
        <f>IF(OR(C94="SI",C94="SÍ",C94=TRUE),"APROBADA",IF(OR(B94="SI",B94="SÍ",B94=TRUE),"RINDE FINAL","ADEUDA"))</f>
        <v/>
      </c>
      <c r="G94" s="9">
        <f>IF(OR(C94="SI",C94="SÍ",C94=TRUE),"✅ Aprobada",IF(OR(B94="SI",B94="SÍ",B94=TRUE),"⏳ Cursada (Rinde Final)","⚪ Pendiente"))</f>
        <v/>
      </c>
    </row>
    <row r="95" ht="20" customHeight="1">
      <c r="A95" s="8" t="inlineStr">
        <is>
          <t>FONOLOGIA EN LAB. Y SU DIDATICA I "C"</t>
        </is>
      </c>
      <c r="B95" s="9" t="inlineStr">
        <is>
          <t>NO</t>
        </is>
      </c>
      <c r="C95" s="9" t="inlineStr">
        <is>
          <t>NO</t>
        </is>
      </c>
      <c r="D95" s="10" t="inlineStr">
        <is>
          <t>3° Año</t>
        </is>
      </c>
      <c r="E95" s="9">
        <f>IF(OR(B95="SI",B95="SÍ",B95=TRUE),"REGULAR","PENDIENTE")</f>
        <v/>
      </c>
      <c r="F95" s="9">
        <f>IF(OR(C95="SI",C95="SÍ",C95=TRUE),"APROBADA",IF(OR(B95="SI",B95="SÍ",B95=TRUE),"RINDE FINAL","ADEUDA"))</f>
        <v/>
      </c>
      <c r="G95" s="9">
        <f>IF(OR(C95="SI",C95="SÍ",C95=TRUE),"✅ Aprobada",IF(OR(B95="SI",B95="SÍ",B95=TRUE),"⏳ Cursada (Rinde Final)","⚪ Pendiente"))</f>
        <v/>
      </c>
    </row>
    <row r="96" ht="20" customHeight="1">
      <c r="A96" s="11" t="inlineStr">
        <is>
          <t>FONOLOGIA EN LABORATORIO Y SU DIDAC. I "A"</t>
        </is>
      </c>
      <c r="B96" s="9" t="inlineStr">
        <is>
          <t>NO</t>
        </is>
      </c>
      <c r="C96" s="9" t="inlineStr">
        <is>
          <t>NO</t>
        </is>
      </c>
      <c r="D96" s="12" t="inlineStr">
        <is>
          <t>3° Año</t>
        </is>
      </c>
      <c r="E96" s="9">
        <f>IF(OR(B96="SI",B96="SÍ",B96=TRUE),"REGULAR","PENDIENTE")</f>
        <v/>
      </c>
      <c r="F96" s="9">
        <f>IF(OR(C96="SI",C96="SÍ",C96=TRUE),"APROBADA",IF(OR(B96="SI",B96="SÍ",B96=TRUE),"RINDE FINAL","ADEUDA"))</f>
        <v/>
      </c>
      <c r="G96" s="9">
        <f>IF(OR(C96="SI",C96="SÍ",C96=TRUE),"✅ Aprobada",IF(OR(B96="SI",B96="SÍ",B96=TRUE),"⏳ Cursada (Rinde Final)","⚪ Pendiente"))</f>
        <v/>
      </c>
    </row>
    <row r="97" ht="20" customHeight="1">
      <c r="A97" s="8" t="inlineStr">
        <is>
          <t>HIST. DE LA CIVILIZACION INGLESA II "A"</t>
        </is>
      </c>
      <c r="B97" s="9" t="inlineStr">
        <is>
          <t>NO</t>
        </is>
      </c>
      <c r="C97" s="9" t="inlineStr">
        <is>
          <t>NO</t>
        </is>
      </c>
      <c r="D97" s="10" t="inlineStr">
        <is>
          <t>3° Año</t>
        </is>
      </c>
      <c r="E97" s="9">
        <f>IF(OR(B97="SI",B97="SÍ",B97=TRUE),"REGULAR","PENDIENTE")</f>
        <v/>
      </c>
      <c r="F97" s="9">
        <f>IF(OR(C97="SI",C97="SÍ",C97=TRUE),"APROBADA",IF(OR(B97="SI",B97="SÍ",B97=TRUE),"RINDE FINAL","ADEUDA"))</f>
        <v/>
      </c>
      <c r="G97" s="9">
        <f>IF(OR(C97="SI",C97="SÍ",C97=TRUE),"✅ Aprobada",IF(OR(B97="SI",B97="SÍ",B97=TRUE),"⏳ Cursada (Rinde Final)","⚪ Pendiente"))</f>
        <v/>
      </c>
    </row>
    <row r="98" ht="20" customHeight="1">
      <c r="A98" s="11" t="inlineStr">
        <is>
          <t>HISTORIA DE LA CIVILIZACION INGLESA II "C"</t>
        </is>
      </c>
      <c r="B98" s="9" t="inlineStr">
        <is>
          <t>NO</t>
        </is>
      </c>
      <c r="C98" s="9" t="inlineStr">
        <is>
          <t>NO</t>
        </is>
      </c>
      <c r="D98" s="12" t="inlineStr">
        <is>
          <t>3° Año</t>
        </is>
      </c>
      <c r="E98" s="9">
        <f>IF(OR(B98="SI",B98="SÍ",B98=TRUE),"REGULAR","PENDIENTE")</f>
        <v/>
      </c>
      <c r="F98" s="9">
        <f>IF(OR(C98="SI",C98="SÍ",C98=TRUE),"APROBADA",IF(OR(B98="SI",B98="SÍ",B98=TRUE),"RINDE FINAL","ADEUDA"))</f>
        <v/>
      </c>
      <c r="G98" s="9">
        <f>IF(OR(C98="SI",C98="SÍ",C98=TRUE),"✅ Aprobada",IF(OR(B98="SI",B98="SÍ",B98=TRUE),"⏳ Cursada (Rinde Final)","⚪ Pendiente"))</f>
        <v/>
      </c>
    </row>
    <row r="99" ht="20" customHeight="1">
      <c r="A99" s="8" t="inlineStr">
        <is>
          <t>HISTORIA NORTEAMERICANA "A"</t>
        </is>
      </c>
      <c r="B99" s="9" t="inlineStr">
        <is>
          <t>NO</t>
        </is>
      </c>
      <c r="C99" s="9" t="inlineStr">
        <is>
          <t>NO</t>
        </is>
      </c>
      <c r="D99" s="10" t="inlineStr">
        <is>
          <t>3° Año</t>
        </is>
      </c>
      <c r="E99" s="9">
        <f>IF(OR(B99="SI",B99="SÍ",B99=TRUE),"REGULAR","PENDIENTE")</f>
        <v/>
      </c>
      <c r="F99" s="9">
        <f>IF(OR(C99="SI",C99="SÍ",C99=TRUE),"APROBADA",IF(OR(B99="SI",B99="SÍ",B99=TRUE),"RINDE FINAL","ADEUDA"))</f>
        <v/>
      </c>
      <c r="G99" s="9">
        <f>IF(OR(C99="SI",C99="SÍ",C99=TRUE),"✅ Aprobada",IF(OR(B99="SI",B99="SÍ",B99=TRUE),"⏳ Cursada (Rinde Final)","⚪ Pendiente"))</f>
        <v/>
      </c>
    </row>
    <row r="100" ht="20" customHeight="1">
      <c r="A100" s="11" t="inlineStr">
        <is>
          <t>HISTORIA NORTEAMERICANA "C"</t>
        </is>
      </c>
      <c r="B100" s="9" t="inlineStr">
        <is>
          <t>NO</t>
        </is>
      </c>
      <c r="C100" s="9" t="inlineStr">
        <is>
          <t>NO</t>
        </is>
      </c>
      <c r="D100" s="12" t="inlineStr">
        <is>
          <t>3° Año</t>
        </is>
      </c>
      <c r="E100" s="9">
        <f>IF(OR(B100="SI",B100="SÍ",B100=TRUE),"REGULAR","PENDIENTE")</f>
        <v/>
      </c>
      <c r="F100" s="9">
        <f>IF(OR(C100="SI",C100="SÍ",C100=TRUE),"APROBADA",IF(OR(B100="SI",B100="SÍ",B100=TRUE),"RINDE FINAL","ADEUDA"))</f>
        <v/>
      </c>
      <c r="G100" s="9">
        <f>IF(OR(C100="SI",C100="SÍ",C100=TRUE),"✅ Aprobada",IF(OR(B100="SI",B100="SÍ",B100=TRUE),"⏳ Cursada (Rinde Final)","⚪ Pendiente"))</f>
        <v/>
      </c>
    </row>
    <row r="101" ht="20" customHeight="1">
      <c r="A101" s="8" t="inlineStr">
        <is>
          <t>INTRODUCCION A LA LINGÜÍSTICA "A"</t>
        </is>
      </c>
      <c r="B101" s="9" t="inlineStr">
        <is>
          <t>NO</t>
        </is>
      </c>
      <c r="C101" s="9" t="inlineStr">
        <is>
          <t>NO</t>
        </is>
      </c>
      <c r="D101" s="10" t="inlineStr">
        <is>
          <t>3° Año</t>
        </is>
      </c>
      <c r="E101" s="9">
        <f>IF(OR(B101="SI",B101="SÍ",B101=TRUE),"REGULAR","PENDIENTE")</f>
        <v/>
      </c>
      <c r="F101" s="9">
        <f>IF(OR(C101="SI",C101="SÍ",C101=TRUE),"APROBADA",IF(OR(B101="SI",B101="SÍ",B101=TRUE),"RINDE FINAL","ADEUDA"))</f>
        <v/>
      </c>
      <c r="G101" s="9">
        <f>IF(OR(C101="SI",C101="SÍ",C101=TRUE),"✅ Aprobada",IF(OR(B101="SI",B101="SÍ",B101=TRUE),"⏳ Cursada (Rinde Final)","⚪ Pendiente"))</f>
        <v/>
      </c>
    </row>
    <row r="102" ht="20" customHeight="1">
      <c r="A102" s="11" t="inlineStr">
        <is>
          <t>INTRODUCCION A LA LINGÜÍSTICA "C"</t>
        </is>
      </c>
      <c r="B102" s="9" t="inlineStr">
        <is>
          <t>NO</t>
        </is>
      </c>
      <c r="C102" s="9" t="inlineStr">
        <is>
          <t>NO</t>
        </is>
      </c>
      <c r="D102" s="12" t="inlineStr">
        <is>
          <t>3° Año</t>
        </is>
      </c>
      <c r="E102" s="9">
        <f>IF(OR(B102="SI",B102="SÍ",B102=TRUE),"REGULAR","PENDIENTE")</f>
        <v/>
      </c>
      <c r="F102" s="9">
        <f>IF(OR(C102="SI",C102="SÍ",C102=TRUE),"APROBADA",IF(OR(B102="SI",B102="SÍ",B102=TRUE),"RINDE FINAL","ADEUDA"))</f>
        <v/>
      </c>
      <c r="G102" s="9">
        <f>IF(OR(C102="SI",C102="SÍ",C102=TRUE),"✅ Aprobada",IF(OR(B102="SI",B102="SÍ",B102=TRUE),"⏳ Cursada (Rinde Final)","⚪ Pendiente"))</f>
        <v/>
      </c>
    </row>
    <row r="103" ht="20" customHeight="1">
      <c r="A103" s="8" t="inlineStr">
        <is>
          <t>LENGUA INGLESA III "A"</t>
        </is>
      </c>
      <c r="B103" s="9" t="inlineStr">
        <is>
          <t>NO</t>
        </is>
      </c>
      <c r="C103" s="9" t="inlineStr">
        <is>
          <t>NO</t>
        </is>
      </c>
      <c r="D103" s="10" t="inlineStr">
        <is>
          <t>3° Año</t>
        </is>
      </c>
      <c r="E103" s="9">
        <f>IF(OR(B103="SI",B103="SÍ",B103=TRUE),"REGULAR","PENDIENTE")</f>
        <v/>
      </c>
      <c r="F103" s="9">
        <f>IF(OR(C103="SI",C103="SÍ",C103=TRUE),"APROBADA",IF(OR(B103="SI",B103="SÍ",B103=TRUE),"RINDE FINAL","ADEUDA"))</f>
        <v/>
      </c>
      <c r="G103" s="9">
        <f>IF(OR(C103="SI",C103="SÍ",C103=TRUE),"✅ Aprobada",IF(OR(B103="SI",B103="SÍ",B103=TRUE),"⏳ Cursada (Rinde Final)","⚪ Pendiente"))</f>
        <v/>
      </c>
    </row>
    <row r="104" ht="20" customHeight="1">
      <c r="A104" s="11" t="inlineStr">
        <is>
          <t>LENGUA INGLESA III "C"</t>
        </is>
      </c>
      <c r="B104" s="9" t="inlineStr">
        <is>
          <t>NO</t>
        </is>
      </c>
      <c r="C104" s="9" t="inlineStr">
        <is>
          <t>NO</t>
        </is>
      </c>
      <c r="D104" s="12" t="inlineStr">
        <is>
          <t>3° Año</t>
        </is>
      </c>
      <c r="E104" s="9">
        <f>IF(OR(B104="SI",B104="SÍ",B104=TRUE),"REGULAR","PENDIENTE")</f>
        <v/>
      </c>
      <c r="F104" s="9">
        <f>IF(OR(C104="SI",C104="SÍ",C104=TRUE),"APROBADA",IF(OR(B104="SI",B104="SÍ",B104=TRUE),"RINDE FINAL","ADEUDA"))</f>
        <v/>
      </c>
      <c r="G104" s="9">
        <f>IF(OR(C104="SI",C104="SÍ",C104=TRUE),"✅ Aprobada",IF(OR(B104="SI",B104="SÍ",B104=TRUE),"⏳ Cursada (Rinde Final)","⚪ Pendiente"))</f>
        <v/>
      </c>
    </row>
    <row r="105" ht="20" customHeight="1">
      <c r="A105" s="8" t="inlineStr">
        <is>
          <t>LITERATURA INGLESA II "A"</t>
        </is>
      </c>
      <c r="B105" s="9" t="inlineStr">
        <is>
          <t>NO</t>
        </is>
      </c>
      <c r="C105" s="9" t="inlineStr">
        <is>
          <t>NO</t>
        </is>
      </c>
      <c r="D105" s="10" t="inlineStr">
        <is>
          <t>3° Año</t>
        </is>
      </c>
      <c r="E105" s="9">
        <f>IF(OR(B105="SI",B105="SÍ",B105=TRUE),"REGULAR","PENDIENTE")</f>
        <v/>
      </c>
      <c r="F105" s="9">
        <f>IF(OR(C105="SI",C105="SÍ",C105=TRUE),"APROBADA",IF(OR(B105="SI",B105="SÍ",B105=TRUE),"RINDE FINAL","ADEUDA"))</f>
        <v/>
      </c>
      <c r="G105" s="9">
        <f>IF(OR(C105="SI",C105="SÍ",C105=TRUE),"✅ Aprobada",IF(OR(B105="SI",B105="SÍ",B105=TRUE),"⏳ Cursada (Rinde Final)","⚪ Pendiente"))</f>
        <v/>
      </c>
    </row>
    <row r="106" ht="20" customHeight="1">
      <c r="A106" s="11" t="inlineStr">
        <is>
          <t>LITERATURA INGLESA II "C"</t>
        </is>
      </c>
      <c r="B106" s="9" t="inlineStr">
        <is>
          <t>NO</t>
        </is>
      </c>
      <c r="C106" s="9" t="inlineStr">
        <is>
          <t>NO</t>
        </is>
      </c>
      <c r="D106" s="12" t="inlineStr">
        <is>
          <t>3° Año</t>
        </is>
      </c>
      <c r="E106" s="9">
        <f>IF(OR(B106="SI",B106="SÍ",B106=TRUE),"REGULAR","PENDIENTE")</f>
        <v/>
      </c>
      <c r="F106" s="9">
        <f>IF(OR(C106="SI",C106="SÍ",C106=TRUE),"APROBADA",IF(OR(B106="SI",B106="SÍ",B106=TRUE),"RINDE FINAL","ADEUDA"))</f>
        <v/>
      </c>
      <c r="G106" s="9">
        <f>IF(OR(C106="SI",C106="SÍ",C106=TRUE),"✅ Aprobada",IF(OR(B106="SI",B106="SÍ",B106=TRUE),"⏳ Cursada (Rinde Final)","⚪ Pendiente"))</f>
        <v/>
      </c>
    </row>
    <row r="107" ht="24" customHeight="1">
      <c r="A107" s="5" t="inlineStr">
        <is>
          <t>📌 4° AÑO</t>
        </is>
      </c>
    </row>
    <row r="108" ht="20" customHeight="1">
      <c r="A108" s="11" t="inlineStr">
        <is>
          <t>CONST. PRACT. DOC. N. MEDIO II Y RES. "B"</t>
        </is>
      </c>
      <c r="B108" s="9" t="inlineStr">
        <is>
          <t>NO</t>
        </is>
      </c>
      <c r="C108" s="9" t="inlineStr">
        <is>
          <t>NO</t>
        </is>
      </c>
      <c r="D108" s="12" t="inlineStr">
        <is>
          <t>4° Año</t>
        </is>
      </c>
      <c r="E108" s="9">
        <f>IF(OR(B108="SI",B108="SÍ",B108=TRUE),"REGULAR","PENDIENTE")</f>
        <v/>
      </c>
      <c r="F108" s="9">
        <f>IF(OR(C108="SI",C108="SÍ",C108=TRUE),"APROBADA",IF(OR(B108="SI",B108="SÍ",B108=TRUE),"RINDE FINAL","ADEUDA"))</f>
        <v/>
      </c>
      <c r="G108" s="9">
        <f>IF(OR(C108="SI",C108="SÍ",C108=TRUE),"✅ Aprobada",IF(OR(B108="SI",B108="SÍ",B108=TRUE),"⏳ Cursada (Rinde Final)","⚪ Pendiente"))</f>
        <v/>
      </c>
    </row>
    <row r="109" ht="20" customHeight="1">
      <c r="A109" s="8" t="inlineStr">
        <is>
          <t>DD HH, SOCIEDAD Y ESTADO "A"</t>
        </is>
      </c>
      <c r="B109" s="9" t="inlineStr">
        <is>
          <t>NO</t>
        </is>
      </c>
      <c r="C109" s="9" t="inlineStr">
        <is>
          <t>NO</t>
        </is>
      </c>
      <c r="D109" s="10" t="inlineStr">
        <is>
          <t>4° Año</t>
        </is>
      </c>
      <c r="E109" s="9">
        <f>IF(OR(B109="SI",B109="SÍ",B109=TRUE),"REGULAR","PENDIENTE")</f>
        <v/>
      </c>
      <c r="F109" s="9">
        <f>IF(OR(C109="SI",C109="SÍ",C109=TRUE),"APROBADA",IF(OR(B109="SI",B109="SÍ",B109=TRUE),"RINDE FINAL","ADEUDA"))</f>
        <v/>
      </c>
      <c r="G109" s="9">
        <f>IF(OR(C109="SI",C109="SÍ",C109=TRUE),"✅ Aprobada",IF(OR(B109="SI",B109="SÍ",B109=TRUE),"⏳ Cursada (Rinde Final)","⚪ Pendiente"))</f>
        <v/>
      </c>
    </row>
    <row r="110" ht="20" customHeight="1">
      <c r="A110" s="11" t="inlineStr">
        <is>
          <t>DD HH, SOCIEDAD Y ESTADO "B"</t>
        </is>
      </c>
      <c r="B110" s="9" t="inlineStr">
        <is>
          <t>NO</t>
        </is>
      </c>
      <c r="C110" s="9" t="inlineStr">
        <is>
          <t>NO</t>
        </is>
      </c>
      <c r="D110" s="12" t="inlineStr">
        <is>
          <t>4° Año</t>
        </is>
      </c>
      <c r="E110" s="9">
        <f>IF(OR(B110="SI",B110="SÍ",B110=TRUE),"REGULAR","PENDIENTE")</f>
        <v/>
      </c>
      <c r="F110" s="9">
        <f>IF(OR(C110="SI",C110="SÍ",C110=TRUE),"APROBADA",IF(OR(B110="SI",B110="SÍ",B110=TRUE),"RINDE FINAL","ADEUDA"))</f>
        <v/>
      </c>
      <c r="G110" s="9">
        <f>IF(OR(C110="SI",C110="SÍ",C110=TRUE),"✅ Aprobada",IF(OR(B110="SI",B110="SÍ",B110=TRUE),"⏳ Cursada (Rinde Final)","⚪ Pendiente"))</f>
        <v/>
      </c>
    </row>
    <row r="111" ht="20" customHeight="1">
      <c r="A111" s="8" t="inlineStr">
        <is>
          <t>DD HH, SOCIEDAD Y ESTADO "E"</t>
        </is>
      </c>
      <c r="B111" s="9" t="inlineStr">
        <is>
          <t>NO</t>
        </is>
      </c>
      <c r="C111" s="9" t="inlineStr">
        <is>
          <t>NO</t>
        </is>
      </c>
      <c r="D111" s="10" t="inlineStr">
        <is>
          <t>4° Año</t>
        </is>
      </c>
      <c r="E111" s="9">
        <f>IF(OR(B111="SI",B111="SÍ",B111=TRUE),"REGULAR","PENDIENTE")</f>
        <v/>
      </c>
      <c r="F111" s="9">
        <f>IF(OR(C111="SI",C111="SÍ",C111=TRUE),"APROBADA",IF(OR(B111="SI",B111="SÍ",B111=TRUE),"RINDE FINAL","ADEUDA"))</f>
        <v/>
      </c>
      <c r="G111" s="9">
        <f>IF(OR(C111="SI",C111="SÍ",C111=TRUE),"✅ Aprobada",IF(OR(B111="SI",B111="SÍ",B111=TRUE),"⏳ Cursada (Rinde Final)","⚪ Pendiente"))</f>
        <v/>
      </c>
    </row>
    <row r="112" ht="20" customHeight="1">
      <c r="A112" s="11" t="inlineStr">
        <is>
          <t>FONOLOGIA EN LAB. Y DIDACTICA II "B"</t>
        </is>
      </c>
      <c r="B112" s="9" t="inlineStr">
        <is>
          <t>NO</t>
        </is>
      </c>
      <c r="C112" s="9" t="inlineStr">
        <is>
          <t>NO</t>
        </is>
      </c>
      <c r="D112" s="12" t="inlineStr">
        <is>
          <t>4° Año</t>
        </is>
      </c>
      <c r="E112" s="9">
        <f>IF(OR(B112="SI",B112="SÍ",B112=TRUE),"REGULAR","PENDIENTE")</f>
        <v/>
      </c>
      <c r="F112" s="9">
        <f>IF(OR(C112="SI",C112="SÍ",C112=TRUE),"APROBADA",IF(OR(B112="SI",B112="SÍ",B112=TRUE),"RINDE FINAL","ADEUDA"))</f>
        <v/>
      </c>
      <c r="G112" s="9">
        <f>IF(OR(C112="SI",C112="SÍ",C112=TRUE),"✅ Aprobada",IF(OR(B112="SI",B112="SÍ",B112=TRUE),"⏳ Cursada (Rinde Final)","⚪ Pendiente"))</f>
        <v/>
      </c>
    </row>
    <row r="113" ht="20" customHeight="1">
      <c r="A113" s="8" t="inlineStr">
        <is>
          <t>HISTORIA DE LA EDUCACION ARGENTINA "B"</t>
        </is>
      </c>
      <c r="B113" s="9" t="inlineStr">
        <is>
          <t>NO</t>
        </is>
      </c>
      <c r="C113" s="9" t="inlineStr">
        <is>
          <t>NO</t>
        </is>
      </c>
      <c r="D113" s="10" t="inlineStr">
        <is>
          <t>4° Año</t>
        </is>
      </c>
      <c r="E113" s="9">
        <f>IF(OR(B113="SI",B113="SÍ",B113=TRUE),"REGULAR","PENDIENTE")</f>
        <v/>
      </c>
      <c r="F113" s="9">
        <f>IF(OR(C113="SI",C113="SÍ",C113=TRUE),"APROBADA",IF(OR(B113="SI",B113="SÍ",B113=TRUE),"RINDE FINAL","ADEUDA"))</f>
        <v/>
      </c>
      <c r="G113" s="9">
        <f>IF(OR(C113="SI",C113="SÍ",C113=TRUE),"✅ Aprobada",IF(OR(B113="SI",B113="SÍ",B113=TRUE),"⏳ Cursada (Rinde Final)","⚪ Pendiente"))</f>
        <v/>
      </c>
    </row>
    <row r="114" ht="20" customHeight="1">
      <c r="A114" s="11" t="inlineStr">
        <is>
          <t>LENGUA INGLESA IV "A"</t>
        </is>
      </c>
      <c r="B114" s="9" t="inlineStr">
        <is>
          <t>NO</t>
        </is>
      </c>
      <c r="C114" s="9" t="inlineStr">
        <is>
          <t>NO</t>
        </is>
      </c>
      <c r="D114" s="12" t="inlineStr">
        <is>
          <t>4° Año</t>
        </is>
      </c>
      <c r="E114" s="9">
        <f>IF(OR(B114="SI",B114="SÍ",B114=TRUE),"REGULAR","PENDIENTE")</f>
        <v/>
      </c>
      <c r="F114" s="9">
        <f>IF(OR(C114="SI",C114="SÍ",C114=TRUE),"APROBADA",IF(OR(B114="SI",B114="SÍ",B114=TRUE),"RINDE FINAL","ADEUDA"))</f>
        <v/>
      </c>
      <c r="G114" s="9">
        <f>IF(OR(C114="SI",C114="SÍ",C114=TRUE),"✅ Aprobada",IF(OR(B114="SI",B114="SÍ",B114=TRUE),"⏳ Cursada (Rinde Final)","⚪ Pendiente"))</f>
        <v/>
      </c>
    </row>
    <row r="115" ht="20" customHeight="1">
      <c r="A115" s="8" t="inlineStr">
        <is>
          <t>LENGUA INGLESA IV "B"</t>
        </is>
      </c>
      <c r="B115" s="9" t="inlineStr">
        <is>
          <t>NO</t>
        </is>
      </c>
      <c r="C115" s="9" t="inlineStr">
        <is>
          <t>NO</t>
        </is>
      </c>
      <c r="D115" s="10" t="inlineStr">
        <is>
          <t>4° Año</t>
        </is>
      </c>
      <c r="E115" s="9">
        <f>IF(OR(B115="SI",B115="SÍ",B115=TRUE),"REGULAR","PENDIENTE")</f>
        <v/>
      </c>
      <c r="F115" s="9">
        <f>IF(OR(C115="SI",C115="SÍ",C115=TRUE),"APROBADA",IF(OR(B115="SI",B115="SÍ",B115=TRUE),"RINDE FINAL","ADEUDA"))</f>
        <v/>
      </c>
      <c r="G115" s="9">
        <f>IF(OR(C115="SI",C115="SÍ",C115=TRUE),"✅ Aprobada",IF(OR(B115="SI",B115="SÍ",B115=TRUE),"⏳ Cursada (Rinde Final)","⚪ Pendiente"))</f>
        <v/>
      </c>
    </row>
    <row r="116" ht="20" customHeight="1">
      <c r="A116" s="11" t="inlineStr">
        <is>
          <t>LITERATURA CONTEMPORANEA "A"</t>
        </is>
      </c>
      <c r="B116" s="9" t="inlineStr">
        <is>
          <t>NO</t>
        </is>
      </c>
      <c r="C116" s="9" t="inlineStr">
        <is>
          <t>NO</t>
        </is>
      </c>
      <c r="D116" s="12" t="inlineStr">
        <is>
          <t>4° Año</t>
        </is>
      </c>
      <c r="E116" s="9">
        <f>IF(OR(B116="SI",B116="SÍ",B116=TRUE),"REGULAR","PENDIENTE")</f>
        <v/>
      </c>
      <c r="F116" s="9">
        <f>IF(OR(C116="SI",C116="SÍ",C116=TRUE),"APROBADA",IF(OR(B116="SI",B116="SÍ",B116=TRUE),"RINDE FINAL","ADEUDA"))</f>
        <v/>
      </c>
      <c r="G116" s="9">
        <f>IF(OR(C116="SI",C116="SÍ",C116=TRUE),"✅ Aprobada",IF(OR(B116="SI",B116="SÍ",B116=TRUE),"⏳ Cursada (Rinde Final)","⚪ Pendiente"))</f>
        <v/>
      </c>
    </row>
    <row r="117" ht="20" customHeight="1">
      <c r="A117" s="8" t="inlineStr">
        <is>
          <t>LITERATURA CONTEMPORANEA "B"</t>
        </is>
      </c>
      <c r="B117" s="9" t="inlineStr">
        <is>
          <t>NO</t>
        </is>
      </c>
      <c r="C117" s="9" t="inlineStr">
        <is>
          <t>NO</t>
        </is>
      </c>
      <c r="D117" s="10" t="inlineStr">
        <is>
          <t>4° Año</t>
        </is>
      </c>
      <c r="E117" s="9">
        <f>IF(OR(B117="SI",B117="SÍ",B117=TRUE),"REGULAR","PENDIENTE")</f>
        <v/>
      </c>
      <c r="F117" s="9">
        <f>IF(OR(C117="SI",C117="SÍ",C117=TRUE),"APROBADA",IF(OR(B117="SI",B117="SÍ",B117=TRUE),"RINDE FINAL","ADEUDA"))</f>
        <v/>
      </c>
      <c r="G117" s="9">
        <f>IF(OR(C117="SI",C117="SÍ",C117=TRUE),"✅ Aprobada",IF(OR(B117="SI",B117="SÍ",B117=TRUE),"⏳ Cursada (Rinde Final)","⚪ Pendiente"))</f>
        <v/>
      </c>
    </row>
    <row r="118" ht="20" customHeight="1">
      <c r="A118" s="11" t="inlineStr">
        <is>
          <t>LITERATURA INGLESA III "A"</t>
        </is>
      </c>
      <c r="B118" s="9" t="inlineStr">
        <is>
          <t>NO</t>
        </is>
      </c>
      <c r="C118" s="9" t="inlineStr">
        <is>
          <t>NO</t>
        </is>
      </c>
      <c r="D118" s="12" t="inlineStr">
        <is>
          <t>4° Año</t>
        </is>
      </c>
      <c r="E118" s="9">
        <f>IF(OR(B118="SI",B118="SÍ",B118=TRUE),"REGULAR","PENDIENTE")</f>
        <v/>
      </c>
      <c r="F118" s="9">
        <f>IF(OR(C118="SI",C118="SÍ",C118=TRUE),"APROBADA",IF(OR(B118="SI",B118="SÍ",B118=TRUE),"RINDE FINAL","ADEUDA"))</f>
        <v/>
      </c>
      <c r="G118" s="9">
        <f>IF(OR(C118="SI",C118="SÍ",C118=TRUE),"✅ Aprobada",IF(OR(B118="SI",B118="SÍ",B118=TRUE),"⏳ Cursada (Rinde Final)","⚪ Pendiente"))</f>
        <v/>
      </c>
    </row>
    <row r="119" ht="20" customHeight="1">
      <c r="A119" s="8" t="inlineStr">
        <is>
          <t>LITERATURA INGLESA III "B"</t>
        </is>
      </c>
      <c r="B119" s="9" t="inlineStr">
        <is>
          <t>NO</t>
        </is>
      </c>
      <c r="C119" s="9" t="inlineStr">
        <is>
          <t>NO</t>
        </is>
      </c>
      <c r="D119" s="10" t="inlineStr">
        <is>
          <t>4° Año</t>
        </is>
      </c>
      <c r="E119" s="9">
        <f>IF(OR(B119="SI",B119="SÍ",B119=TRUE),"REGULAR","PENDIENTE")</f>
        <v/>
      </c>
      <c r="F119" s="9">
        <f>IF(OR(C119="SI",C119="SÍ",C119=TRUE),"APROBADA",IF(OR(B119="SI",B119="SÍ",B119=TRUE),"RINDE FINAL","ADEUDA"))</f>
        <v/>
      </c>
      <c r="G119" s="9">
        <f>IF(OR(C119="SI",C119="SÍ",C119=TRUE),"✅ Aprobada",IF(OR(B119="SI",B119="SÍ",B119=TRUE),"⏳ Cursada (Rinde Final)","⚪ Pendiente"))</f>
        <v/>
      </c>
    </row>
    <row r="120" ht="20" customHeight="1">
      <c r="A120" s="11" t="inlineStr">
        <is>
          <t>LITERATURA NORTEAMERICANA "A"</t>
        </is>
      </c>
      <c r="B120" s="9" t="inlineStr">
        <is>
          <t>NO</t>
        </is>
      </c>
      <c r="C120" s="9" t="inlineStr">
        <is>
          <t>NO</t>
        </is>
      </c>
      <c r="D120" s="12" t="inlineStr">
        <is>
          <t>4° Año</t>
        </is>
      </c>
      <c r="E120" s="9">
        <f>IF(OR(B120="SI",B120="SÍ",B120=TRUE),"REGULAR","PENDIENTE")</f>
        <v/>
      </c>
      <c r="F120" s="9">
        <f>IF(OR(C120="SI",C120="SÍ",C120=TRUE),"APROBADA",IF(OR(B120="SI",B120="SÍ",B120=TRUE),"RINDE FINAL","ADEUDA"))</f>
        <v/>
      </c>
      <c r="G120" s="9">
        <f>IF(OR(C120="SI",C120="SÍ",C120=TRUE),"✅ Aprobada",IF(OR(B120="SI",B120="SÍ",B120=TRUE),"⏳ Cursada (Rinde Final)","⚪ Pendiente"))</f>
        <v/>
      </c>
    </row>
    <row r="121" ht="20" customHeight="1">
      <c r="A121" s="8" t="inlineStr">
        <is>
          <t>LITERATURA NORTEAMERICANA "B"</t>
        </is>
      </c>
      <c r="B121" s="9" t="inlineStr">
        <is>
          <t>NO</t>
        </is>
      </c>
      <c r="C121" s="9" t="inlineStr">
        <is>
          <t>NO</t>
        </is>
      </c>
      <c r="D121" s="10" t="inlineStr">
        <is>
          <t>4° Año</t>
        </is>
      </c>
      <c r="E121" s="9">
        <f>IF(OR(B121="SI",B121="SÍ",B121=TRUE),"REGULAR","PENDIENTE")</f>
        <v/>
      </c>
      <c r="F121" s="9">
        <f>IF(OR(C121="SI",C121="SÍ",C121=TRUE),"APROBADA",IF(OR(B121="SI",B121="SÍ",B121=TRUE),"RINDE FINAL","ADEUDA"))</f>
        <v/>
      </c>
      <c r="G121" s="9">
        <f>IF(OR(C121="SI",C121="SÍ",C121=TRUE),"✅ Aprobada",IF(OR(B121="SI",B121="SÍ",B121=TRUE),"⏳ Cursada (Rinde Final)","⚪ Pendiente"))</f>
        <v/>
      </c>
    </row>
    <row r="122" ht="20" customHeight="1">
      <c r="A122" s="11" t="inlineStr">
        <is>
          <t>SISTEMA Y POLITICA EDUCATIVA "A" (cuatr.)</t>
        </is>
      </c>
      <c r="B122" s="9" t="inlineStr">
        <is>
          <t>NO</t>
        </is>
      </c>
      <c r="C122" s="9" t="inlineStr">
        <is>
          <t>NO</t>
        </is>
      </c>
      <c r="D122" s="12" t="inlineStr">
        <is>
          <t>4° Año</t>
        </is>
      </c>
      <c r="E122" s="9">
        <f>IF(OR(B122="SI",B122="SÍ",B122=TRUE),"REGULAR","PENDIENTE")</f>
        <v/>
      </c>
      <c r="F122" s="9">
        <f>IF(OR(C122="SI",C122="SÍ",C122=TRUE),"APROBADA",IF(OR(B122="SI",B122="SÍ",B122=TRUE),"RINDE FINAL","ADEUDA"))</f>
        <v/>
      </c>
      <c r="G122" s="9">
        <f>IF(OR(C122="SI",C122="SÍ",C122=TRUE),"✅ Aprobada",IF(OR(B122="SI",B122="SÍ",B122=TRUE),"⏳ Cursada (Rinde Final)","⚪ Pendiente"))</f>
        <v/>
      </c>
    </row>
    <row r="123" ht="20" customHeight="1">
      <c r="A123" s="8" t="inlineStr">
        <is>
          <t>SISTEMA Y POLITICA EDUCATIVA "B" (CUATR.)</t>
        </is>
      </c>
      <c r="B123" s="9" t="inlineStr">
        <is>
          <t>NO</t>
        </is>
      </c>
      <c r="C123" s="9" t="inlineStr">
        <is>
          <t>NO</t>
        </is>
      </c>
      <c r="D123" s="10" t="inlineStr">
        <is>
          <t>4° Año</t>
        </is>
      </c>
      <c r="E123" s="9">
        <f>IF(OR(B123="SI",B123="SÍ",B123=TRUE),"REGULAR","PENDIENTE")</f>
        <v/>
      </c>
      <c r="F123" s="9">
        <f>IF(OR(C123="SI",C123="SÍ",C123=TRUE),"APROBADA",IF(OR(B123="SI",B123="SÍ",B123=TRUE),"RINDE FINAL","ADEUDA"))</f>
        <v/>
      </c>
      <c r="G123" s="9">
        <f>IF(OR(C123="SI",C123="SÍ",C123=TRUE),"✅ Aprobada",IF(OR(B123="SI",B123="SÍ",B123=TRUE),"⏳ Cursada (Rinde Final)","⚪ Pendiente"))</f>
        <v/>
      </c>
    </row>
    <row r="124" ht="24" customHeight="1">
      <c r="A124" s="5" t="inlineStr">
        <is>
          <t>📌 5° AÑO (NIVEL SUPERIOR / TRAMO SUPERIOR)</t>
        </is>
      </c>
    </row>
    <row r="125" ht="20" customHeight="1">
      <c r="A125" s="8" t="inlineStr">
        <is>
          <t>FONOLOGIA EN LAB. Y SU DIDACT. II "A"</t>
        </is>
      </c>
      <c r="B125" s="9" t="inlineStr">
        <is>
          <t>NO</t>
        </is>
      </c>
      <c r="C125" s="9" t="inlineStr">
        <is>
          <t>NO</t>
        </is>
      </c>
      <c r="D125" s="10" t="inlineStr">
        <is>
          <t>5° Año (Nivel Superior / Tramo Superior)</t>
        </is>
      </c>
      <c r="E125" s="9">
        <f>IF(OR(B125="SI",B125="SÍ",B125=TRUE),"REGULAR","PENDIENTE")</f>
        <v/>
      </c>
      <c r="F125" s="9">
        <f>IF(OR(C125="SI",C125="SÍ",C125=TRUE),"APROBADA",IF(OR(B125="SI",B125="SÍ",B125=TRUE),"RINDE FINAL","ADEUDA"))</f>
        <v/>
      </c>
      <c r="G125" s="9">
        <f>IF(OR(C125="SI",C125="SÍ",C125=TRUE),"✅ Aprobada",IF(OR(B125="SI",B125="SÍ",B125=TRUE),"⏳ Cursada (Rinde Final)","⚪ Pendiente"))</f>
        <v/>
      </c>
    </row>
    <row r="126" ht="20" customHeight="1">
      <c r="A126" s="11" t="inlineStr">
        <is>
          <t>LENGUA EXTRANJERA: FRANCES NIVEL I</t>
        </is>
      </c>
      <c r="B126" s="9" t="inlineStr">
        <is>
          <t>NO</t>
        </is>
      </c>
      <c r="C126" s="9" t="inlineStr">
        <is>
          <t>NO</t>
        </is>
      </c>
      <c r="D126" s="12" t="inlineStr">
        <is>
          <t>5° Año (Nivel Superior / Tramo Superior)</t>
        </is>
      </c>
      <c r="E126" s="9">
        <f>IF(OR(B126="SI",B126="SÍ",B126=TRUE),"REGULAR","PENDIENTE")</f>
        <v/>
      </c>
      <c r="F126" s="9">
        <f>IF(OR(C126="SI",C126="SÍ",C126=TRUE),"APROBADA",IF(OR(B126="SI",B126="SÍ",B126=TRUE),"RINDE FINAL","ADEUDA"))</f>
        <v/>
      </c>
      <c r="G126" s="9">
        <f>IF(OR(C126="SI",C126="SÍ",C126=TRUE),"✅ Aprobada",IF(OR(B126="SI",B126="SÍ",B126=TRUE),"⏳ Cursada (Rinde Final)","⚪ Pendiente"))</f>
        <v/>
      </c>
    </row>
    <row r="127" ht="20" customHeight="1">
      <c r="A127" s="8" t="inlineStr">
        <is>
          <t>METOD. DE LA INVEST. EN LENGUAS EXTR. "A"</t>
        </is>
      </c>
      <c r="B127" s="9" t="inlineStr">
        <is>
          <t>NO</t>
        </is>
      </c>
      <c r="C127" s="9" t="inlineStr">
        <is>
          <t>NO</t>
        </is>
      </c>
      <c r="D127" s="10" t="inlineStr">
        <is>
          <t>5° Año (Nivel Superior / Tramo Superior)</t>
        </is>
      </c>
      <c r="E127" s="9">
        <f>IF(OR(B127="SI",B127="SÍ",B127=TRUE),"REGULAR","PENDIENTE")</f>
        <v/>
      </c>
      <c r="F127" s="9">
        <f>IF(OR(C127="SI",C127="SÍ",C127=TRUE),"APROBADA",IF(OR(B127="SI",B127="SÍ",B127=TRUE),"RINDE FINAL","ADEUDA"))</f>
        <v/>
      </c>
      <c r="G127" s="9">
        <f>IF(OR(C127="SI",C127="SÍ",C127=TRUE),"✅ Aprobada",IF(OR(B127="SI",B127="SÍ",B127=TRUE),"⏳ Cursada (Rinde Final)","⚪ Pendiente"))</f>
        <v/>
      </c>
    </row>
    <row r="128" ht="24" customHeight="1">
      <c r="A128" s="5" t="inlineStr">
        <is>
          <t>📌 6° AÑO (NIVEL SUPERIOR / TRAMO SUPERIOR)</t>
        </is>
      </c>
    </row>
    <row r="129" ht="20" customHeight="1">
      <c r="A129" s="8" t="inlineStr">
        <is>
          <t>Seminario de Especialización Superior II</t>
        </is>
      </c>
      <c r="B129" s="9" t="inlineStr">
        <is>
          <t>NO</t>
        </is>
      </c>
      <c r="C129" s="9" t="inlineStr">
        <is>
          <t>NO</t>
        </is>
      </c>
      <c r="D129" s="10" t="inlineStr">
        <is>
          <t>6° Año (Nivel Superior / Tramo Superior)</t>
        </is>
      </c>
      <c r="E129" s="9">
        <f>IF(OR(B129="SI",B129="SÍ",B129=TRUE),"REGULAR","PENDIENTE")</f>
        <v/>
      </c>
      <c r="F129" s="9">
        <f>IF(OR(C129="SI",C129="SÍ",C129=TRUE),"APROBADA",IF(OR(B129="SI",B129="SÍ",B129=TRUE),"RINDE FINAL","ADEUDA"))</f>
        <v/>
      </c>
      <c r="G129" s="9">
        <f>IF(OR(C129="SI",C129="SÍ",C129=TRUE),"✅ Aprobada",IF(OR(B129="SI",B129="SÍ",B129=TRUE),"⏳ Cursada (Rinde Final)","⚪ Pendiente"))</f>
        <v/>
      </c>
    </row>
    <row r="130" ht="20" customHeight="1">
      <c r="A130" s="11" t="inlineStr">
        <is>
          <t>Tesis / Trabajo Final de Licenciatura</t>
        </is>
      </c>
      <c r="B130" s="9" t="inlineStr">
        <is>
          <t>NO</t>
        </is>
      </c>
      <c r="C130" s="9" t="inlineStr">
        <is>
          <t>NO</t>
        </is>
      </c>
      <c r="D130" s="12" t="inlineStr">
        <is>
          <t>6° Año (Nivel Superior / Tramo Superior)</t>
        </is>
      </c>
      <c r="E130" s="9">
        <f>IF(OR(B130="SI",B130="SÍ",B130=TRUE),"REGULAR","PENDIENTE")</f>
        <v/>
      </c>
      <c r="F130" s="9">
        <f>IF(OR(C130="SI",C130="SÍ",C130=TRUE),"APROBADA",IF(OR(B130="SI",B130="SÍ",B130=TRUE),"RINDE FINAL","ADEUDA"))</f>
        <v/>
      </c>
      <c r="G130" s="9">
        <f>IF(OR(C130="SI",C130="SÍ",C130=TRUE),"✅ Aprobada",IF(OR(B130="SI",B130="SÍ",B130=TRUE),"⏳ Cursada (Rinde Final)","⚪ Pendiente"))</f>
        <v/>
      </c>
    </row>
    <row r="131" ht="20" customHeight="1">
      <c r="A131" s="8" t="inlineStr">
        <is>
          <t>Práctica de Nivel Superior II</t>
        </is>
      </c>
      <c r="B131" s="9" t="inlineStr">
        <is>
          <t>NO</t>
        </is>
      </c>
      <c r="C131" s="9" t="inlineStr">
        <is>
          <t>NO</t>
        </is>
      </c>
      <c r="D131" s="10" t="inlineStr">
        <is>
          <t>6° Año (Nivel Superior / Tramo Superior)</t>
        </is>
      </c>
      <c r="E131" s="9">
        <f>IF(OR(B131="SI",B131="SÍ",B131=TRUE),"REGULAR","PENDIENTE")</f>
        <v/>
      </c>
      <c r="F131" s="9">
        <f>IF(OR(C131="SI",C131="SÍ",C131=TRUE),"APROBADA",IF(OR(B131="SI",B131="SÍ",B131=TRUE),"RINDE FINAL","ADEUDA"))</f>
        <v/>
      </c>
      <c r="G131" s="9">
        <f>IF(OR(C131="SI",C131="SÍ",C131=TRUE),"✅ Aprobada",IF(OR(B131="SI",B131="SÍ",B131=TRUE),"⏳ Cursada (Rinde Final)","⚪ Pendiente"))</f>
        <v/>
      </c>
    </row>
    <row r="132" ht="20" customHeight="1">
      <c r="A132" s="11" t="inlineStr">
        <is>
          <t>Acreditación de Residencia Superior</t>
        </is>
      </c>
      <c r="B132" s="9" t="inlineStr">
        <is>
          <t>NO</t>
        </is>
      </c>
      <c r="C132" s="9" t="inlineStr">
        <is>
          <t>NO</t>
        </is>
      </c>
      <c r="D132" s="12" t="inlineStr">
        <is>
          <t>6° Año (Nivel Superior / Tramo Superior)</t>
        </is>
      </c>
      <c r="E132" s="9">
        <f>IF(OR(B132="SI",B132="SÍ",B132=TRUE),"REGULAR","PENDIENTE")</f>
        <v/>
      </c>
      <c r="F132" s="9">
        <f>IF(OR(C132="SI",C132="SÍ",C132=TRUE),"APROBADA",IF(OR(B132="SI",B132="SÍ",B132=TRUE),"RINDE FINAL","ADEUDA"))</f>
        <v/>
      </c>
      <c r="G132" s="9">
        <f>IF(OR(C132="SI",C132="SÍ",C132=TRUE),"✅ Aprobada",IF(OR(B132="SI",B132="SÍ",B132=TRUE),"⏳ Cursada (Rinde Final)","⚪ Pendiente"))</f>
        <v/>
      </c>
    </row>
    <row r="133" ht="24" customHeight="1">
      <c r="A133" s="5" t="inlineStr">
        <is>
          <t>📌 GENERAL / OPTATIVAS</t>
        </is>
      </c>
    </row>
    <row r="134" ht="20" customHeight="1">
      <c r="A134" s="11" t="inlineStr">
        <is>
          <t>DIDACTICA GENERAL "E"</t>
        </is>
      </c>
      <c r="B134" s="9" t="inlineStr">
        <is>
          <t>NO</t>
        </is>
      </c>
      <c r="C134" s="9" t="inlineStr">
        <is>
          <t>NO</t>
        </is>
      </c>
      <c r="D134" s="12" t="inlineStr">
        <is>
          <t>General / Optativas</t>
        </is>
      </c>
      <c r="E134" s="9">
        <f>IF(OR(B134="SI",B134="SÍ",B134=TRUE),"REGULAR","PENDIENTE")</f>
        <v/>
      </c>
      <c r="F134" s="9">
        <f>IF(OR(C134="SI",C134="SÍ",C134=TRUE),"APROBADA",IF(OR(B134="SI",B134="SÍ",B134=TRUE),"RINDE FINAL","ADEUDA"))</f>
        <v/>
      </c>
      <c r="G134" s="9">
        <f>IF(OR(C134="SI",C134="SÍ",C134=TRUE),"✅ Aprobada",IF(OR(B134="SI",B134="SÍ",B134=TRUE),"⏳ Cursada (Rinde Final)","⚪ Pendiente"))</f>
        <v/>
      </c>
    </row>
    <row r="135" ht="20" customHeight="1">
      <c r="A135" s="8" t="inlineStr">
        <is>
          <t>EL USO DE LA VOZ EN EL AULA</t>
        </is>
      </c>
      <c r="B135" s="9" t="inlineStr">
        <is>
          <t>NO</t>
        </is>
      </c>
      <c r="C135" s="9" t="inlineStr">
        <is>
          <t>NO</t>
        </is>
      </c>
      <c r="D135" s="10" t="inlineStr">
        <is>
          <t>General / Optativas</t>
        </is>
      </c>
      <c r="E135" s="9">
        <f>IF(OR(B135="SI",B135="SÍ",B135=TRUE),"REGULAR","PENDIENTE")</f>
        <v/>
      </c>
      <c r="F135" s="9">
        <f>IF(OR(C135="SI",C135="SÍ",C135=TRUE),"APROBADA",IF(OR(B135="SI",B135="SÍ",B135=TRUE),"RINDE FINAL","ADEUDA"))</f>
        <v/>
      </c>
      <c r="G135" s="9">
        <f>IF(OR(C135="SI",C135="SÍ",C135=TRUE),"✅ Aprobada",IF(OR(B135="SI",B135="SÍ",B135=TRUE),"⏳ Cursada (Rinde Final)","⚪ Pendiente"))</f>
        <v/>
      </c>
    </row>
    <row r="136" ht="20" customHeight="1">
      <c r="A136" s="11" t="inlineStr">
        <is>
          <t>FONETICA Y FONOLOGIA I "F"</t>
        </is>
      </c>
      <c r="B136" s="9" t="inlineStr">
        <is>
          <t>NO</t>
        </is>
      </c>
      <c r="C136" s="9" t="inlineStr">
        <is>
          <t>NO</t>
        </is>
      </c>
      <c r="D136" s="12" t="inlineStr">
        <is>
          <t>General / Optativas</t>
        </is>
      </c>
      <c r="E136" s="9">
        <f>IF(OR(B136="SI",B136="SÍ",B136=TRUE),"REGULAR","PENDIENTE")</f>
        <v/>
      </c>
      <c r="F136" s="9">
        <f>IF(OR(C136="SI",C136="SÍ",C136=TRUE),"APROBADA",IF(OR(B136="SI",B136="SÍ",B136=TRUE),"RINDE FINAL","ADEUDA"))</f>
        <v/>
      </c>
      <c r="G136" s="9">
        <f>IF(OR(C136="SI",C136="SÍ",C136=TRUE),"✅ Aprobada",IF(OR(B136="SI",B136="SÍ",B136=TRUE),"⏳ Cursada (Rinde Final)","⚪ Pendiente"))</f>
        <v/>
      </c>
    </row>
    <row r="137" ht="20" customHeight="1">
      <c r="A137" s="8" t="inlineStr">
        <is>
          <t>FONETICA Y FONOLOGIA I "G"</t>
        </is>
      </c>
      <c r="B137" s="9" t="inlineStr">
        <is>
          <t>NO</t>
        </is>
      </c>
      <c r="C137" s="9" t="inlineStr">
        <is>
          <t>NO</t>
        </is>
      </c>
      <c r="D137" s="10" t="inlineStr">
        <is>
          <t>General / Optativas</t>
        </is>
      </c>
      <c r="E137" s="9">
        <f>IF(OR(B137="SI",B137="SÍ",B137=TRUE),"REGULAR","PENDIENTE")</f>
        <v/>
      </c>
      <c r="F137" s="9">
        <f>IF(OR(C137="SI",C137="SÍ",C137=TRUE),"APROBADA",IF(OR(B137="SI",B137="SÍ",B137=TRUE),"RINDE FINAL","ADEUDA"))</f>
        <v/>
      </c>
      <c r="G137" s="9">
        <f>IF(OR(C137="SI",C137="SÍ",C137=TRUE),"✅ Aprobada",IF(OR(B137="SI",B137="SÍ",B137=TRUE),"⏳ Cursada (Rinde Final)","⚪ Pendiente"))</f>
        <v/>
      </c>
    </row>
    <row r="138" ht="20" customHeight="1">
      <c r="A138" s="11" t="inlineStr">
        <is>
          <t>FONOLOGIA EN LAB. Y SU DIDACT. I "E"</t>
        </is>
      </c>
      <c r="B138" s="9" t="inlineStr">
        <is>
          <t>NO</t>
        </is>
      </c>
      <c r="C138" s="9" t="inlineStr">
        <is>
          <t>NO</t>
        </is>
      </c>
      <c r="D138" s="12" t="inlineStr">
        <is>
          <t>General / Optativas</t>
        </is>
      </c>
      <c r="E138" s="9">
        <f>IF(OR(B138="SI",B138="SÍ",B138=TRUE),"REGULAR","PENDIENTE")</f>
        <v/>
      </c>
      <c r="F138" s="9">
        <f>IF(OR(C138="SI",C138="SÍ",C138=TRUE),"APROBADA",IF(OR(B138="SI",B138="SÍ",B138=TRUE),"RINDE FINAL","ADEUDA"))</f>
        <v/>
      </c>
      <c r="G138" s="9">
        <f>IF(OR(C138="SI",C138="SÍ",C138=TRUE),"✅ Aprobada",IF(OR(B138="SI",B138="SÍ",B138=TRUE),"⏳ Cursada (Rinde Final)","⚪ Pendiente"))</f>
        <v/>
      </c>
    </row>
    <row r="139" ht="20" customHeight="1">
      <c r="A139" s="8" t="inlineStr">
        <is>
          <t>GEOGRAFIA DE LAS ISLAS BRITANICAS "F" (1 cuat)</t>
        </is>
      </c>
      <c r="B139" s="9" t="inlineStr">
        <is>
          <t>NO</t>
        </is>
      </c>
      <c r="C139" s="9" t="inlineStr">
        <is>
          <t>NO</t>
        </is>
      </c>
      <c r="D139" s="10" t="inlineStr">
        <is>
          <t>General / Optativas</t>
        </is>
      </c>
      <c r="E139" s="9">
        <f>IF(OR(B139="SI",B139="SÍ",B139=TRUE),"REGULAR","PENDIENTE")</f>
        <v/>
      </c>
      <c r="F139" s="9">
        <f>IF(OR(C139="SI",C139="SÍ",C139=TRUE),"APROBADA",IF(OR(B139="SI",B139="SÍ",B139=TRUE),"RINDE FINAL","ADEUDA"))</f>
        <v/>
      </c>
      <c r="G139" s="9">
        <f>IF(OR(C139="SI",C139="SÍ",C139=TRUE),"✅ Aprobada",IF(OR(B139="SI",B139="SÍ",B139=TRUE),"⏳ Cursada (Rinde Final)","⚪ Pendiente"))</f>
        <v/>
      </c>
    </row>
    <row r="140" ht="20" customHeight="1">
      <c r="A140" s="11" t="inlineStr">
        <is>
          <t>HISTORIA DE LA CIVILIZACION INGLESA II</t>
        </is>
      </c>
      <c r="B140" s="9" t="inlineStr">
        <is>
          <t>NO</t>
        </is>
      </c>
      <c r="C140" s="9" t="inlineStr">
        <is>
          <t>NO</t>
        </is>
      </c>
      <c r="D140" s="12" t="inlineStr">
        <is>
          <t>General / Optativas</t>
        </is>
      </c>
      <c r="E140" s="9">
        <f>IF(OR(B140="SI",B140="SÍ",B140=TRUE),"REGULAR","PENDIENTE")</f>
        <v/>
      </c>
      <c r="F140" s="9">
        <f>IF(OR(C140="SI",C140="SÍ",C140=TRUE),"APROBADA",IF(OR(B140="SI",B140="SÍ",B140=TRUE),"RINDE FINAL","ADEUDA"))</f>
        <v/>
      </c>
      <c r="G140" s="9">
        <f>IF(OR(C140="SI",C140="SÍ",C140=TRUE),"✅ Aprobada",IF(OR(B140="SI",B140="SÍ",B140=TRUE),"⏳ Cursada (Rinde Final)","⚪ Pendiente"))</f>
        <v/>
      </c>
    </row>
    <row r="141" ht="20" customHeight="1">
      <c r="A141" s="8" t="inlineStr">
        <is>
          <t>INTRODUCCION A LA LINGÜÍSTICA "B"</t>
        </is>
      </c>
      <c r="B141" s="9" t="inlineStr">
        <is>
          <t>NO</t>
        </is>
      </c>
      <c r="C141" s="9" t="inlineStr">
        <is>
          <t>NO</t>
        </is>
      </c>
      <c r="D141" s="10" t="inlineStr">
        <is>
          <t>General / Optativas</t>
        </is>
      </c>
      <c r="E141" s="9">
        <f>IF(OR(B141="SI",B141="SÍ",B141=TRUE),"REGULAR","PENDIENTE")</f>
        <v/>
      </c>
      <c r="F141" s="9">
        <f>IF(OR(C141="SI",C141="SÍ",C141=TRUE),"APROBADA",IF(OR(B141="SI",B141="SÍ",B141=TRUE),"RINDE FINAL","ADEUDA"))</f>
        <v/>
      </c>
      <c r="G141" s="9">
        <f>IF(OR(C141="SI",C141="SÍ",C141=TRUE),"✅ Aprobada",IF(OR(B141="SI",B141="SÍ",B141=TRUE),"⏳ Cursada (Rinde Final)","⚪ Pendiente"))</f>
        <v/>
      </c>
    </row>
    <row r="142" ht="20" customHeight="1">
      <c r="A142" s="11" t="inlineStr">
        <is>
          <t>LECTURA ESCRITURA Y ORALIDAD I "G"</t>
        </is>
      </c>
      <c r="B142" s="9" t="inlineStr">
        <is>
          <t>NO</t>
        </is>
      </c>
      <c r="C142" s="9" t="inlineStr">
        <is>
          <t>NO</t>
        </is>
      </c>
      <c r="D142" s="12" t="inlineStr">
        <is>
          <t>General / Optativas</t>
        </is>
      </c>
      <c r="E142" s="9">
        <f>IF(OR(B142="SI",B142="SÍ",B142=TRUE),"REGULAR","PENDIENTE")</f>
        <v/>
      </c>
      <c r="F142" s="9">
        <f>IF(OR(C142="SI",C142="SÍ",C142=TRUE),"APROBADA",IF(OR(B142="SI",B142="SÍ",B142=TRUE),"RINDE FINAL","ADEUDA"))</f>
        <v/>
      </c>
      <c r="G142" s="9">
        <f>IF(OR(C142="SI",C142="SÍ",C142=TRUE),"✅ Aprobada",IF(OR(B142="SI",B142="SÍ",B142=TRUE),"⏳ Cursada (Rinde Final)","⚪ Pendiente"))</f>
        <v/>
      </c>
    </row>
    <row r="143" ht="20" customHeight="1">
      <c r="A143" s="8" t="inlineStr">
        <is>
          <t>LECTURA, ESCRITURA Y ORALIDAD I "F"</t>
        </is>
      </c>
      <c r="B143" s="9" t="inlineStr">
        <is>
          <t>NO</t>
        </is>
      </c>
      <c r="C143" s="9" t="inlineStr">
        <is>
          <t>NO</t>
        </is>
      </c>
      <c r="D143" s="10" t="inlineStr">
        <is>
          <t>General / Optativas</t>
        </is>
      </c>
      <c r="E143" s="9">
        <f>IF(OR(B143="SI",B143="SÍ",B143=TRUE),"REGULAR","PENDIENTE")</f>
        <v/>
      </c>
      <c r="F143" s="9">
        <f>IF(OR(C143="SI",C143="SÍ",C143=TRUE),"APROBADA",IF(OR(B143="SI",B143="SÍ",B143=TRUE),"RINDE FINAL","ADEUDA"))</f>
        <v/>
      </c>
      <c r="G143" s="9">
        <f>IF(OR(C143="SI",C143="SÍ",C143=TRUE),"✅ Aprobada",IF(OR(B143="SI",B143="SÍ",B143=TRUE),"⏳ Cursada (Rinde Final)","⚪ Pendiente"))</f>
        <v/>
      </c>
    </row>
    <row r="144" ht="20" customHeight="1">
      <c r="A144" s="11" t="inlineStr">
        <is>
          <t>LENGUA EXTRANJERA NIVEL I - FRANCES (1° CUAT)</t>
        </is>
      </c>
      <c r="B144" s="9" t="inlineStr">
        <is>
          <t>NO</t>
        </is>
      </c>
      <c r="C144" s="9" t="inlineStr">
        <is>
          <t>NO</t>
        </is>
      </c>
      <c r="D144" s="12" t="inlineStr">
        <is>
          <t>General / Optativas</t>
        </is>
      </c>
      <c r="E144" s="9">
        <f>IF(OR(B144="SI",B144="SÍ",B144=TRUE),"REGULAR","PENDIENTE")</f>
        <v/>
      </c>
      <c r="F144" s="9">
        <f>IF(OR(C144="SI",C144="SÍ",C144=TRUE),"APROBADA",IF(OR(B144="SI",B144="SÍ",B144=TRUE),"RINDE FINAL","ADEUDA"))</f>
        <v/>
      </c>
      <c r="G144" s="9">
        <f>IF(OR(C144="SI",C144="SÍ",C144=TRUE),"✅ Aprobada",IF(OR(B144="SI",B144="SÍ",B144=TRUE),"⏳ Cursada (Rinde Final)","⚪ Pendiente"))</f>
        <v/>
      </c>
    </row>
    <row r="145" ht="20" customHeight="1">
      <c r="A145" s="8" t="inlineStr">
        <is>
          <t>LENGUA INGLESA II "E"</t>
        </is>
      </c>
      <c r="B145" s="9" t="inlineStr">
        <is>
          <t>NO</t>
        </is>
      </c>
      <c r="C145" s="9" t="inlineStr">
        <is>
          <t>NO</t>
        </is>
      </c>
      <c r="D145" s="10" t="inlineStr">
        <is>
          <t>General / Optativas</t>
        </is>
      </c>
      <c r="E145" s="9">
        <f>IF(OR(B145="SI",B145="SÍ",B145=TRUE),"REGULAR","PENDIENTE")</f>
        <v/>
      </c>
      <c r="F145" s="9">
        <f>IF(OR(C145="SI",C145="SÍ",C145=TRUE),"APROBADA",IF(OR(B145="SI",B145="SÍ",B145=TRUE),"RINDE FINAL","ADEUDA"))</f>
        <v/>
      </c>
      <c r="G145" s="9">
        <f>IF(OR(C145="SI",C145="SÍ",C145=TRUE),"✅ Aprobada",IF(OR(B145="SI",B145="SÍ",B145=TRUE),"⏳ Cursada (Rinde Final)","⚪ Pendiente"))</f>
        <v/>
      </c>
    </row>
    <row r="146" ht="20" customHeight="1">
      <c r="A146" s="11" t="inlineStr">
        <is>
          <t>LENGUA INGLESA III</t>
        </is>
      </c>
      <c r="B146" s="9" t="inlineStr">
        <is>
          <t>NO</t>
        </is>
      </c>
      <c r="C146" s="9" t="inlineStr">
        <is>
          <t>NO</t>
        </is>
      </c>
      <c r="D146" s="12" t="inlineStr">
        <is>
          <t>General / Optativas</t>
        </is>
      </c>
      <c r="E146" s="9">
        <f>IF(OR(B146="SI",B146="SÍ",B146=TRUE),"REGULAR","PENDIENTE")</f>
        <v/>
      </c>
      <c r="F146" s="9">
        <f>IF(OR(C146="SI",C146="SÍ",C146=TRUE),"APROBADA",IF(OR(B146="SI",B146="SÍ",B146=TRUE),"RINDE FINAL","ADEUDA"))</f>
        <v/>
      </c>
      <c r="G146" s="9">
        <f>IF(OR(C146="SI",C146="SÍ",C146=TRUE),"✅ Aprobada",IF(OR(B146="SI",B146="SÍ",B146=TRUE),"⏳ Cursada (Rinde Final)","⚪ Pendiente"))</f>
        <v/>
      </c>
    </row>
    <row r="147" ht="20" customHeight="1">
      <c r="A147" s="8" t="inlineStr">
        <is>
          <t>LITERATURA INGLESA II "B"</t>
        </is>
      </c>
      <c r="B147" s="9" t="inlineStr">
        <is>
          <t>NO</t>
        </is>
      </c>
      <c r="C147" s="9" t="inlineStr">
        <is>
          <t>NO</t>
        </is>
      </c>
      <c r="D147" s="10" t="inlineStr">
        <is>
          <t>General / Optativas</t>
        </is>
      </c>
      <c r="E147" s="9">
        <f>IF(OR(B147="SI",B147="SÍ",B147=TRUE),"REGULAR","PENDIENTE")</f>
        <v/>
      </c>
      <c r="F147" s="9">
        <f>IF(OR(C147="SI",C147="SÍ",C147=TRUE),"APROBADA",IF(OR(B147="SI",B147="SÍ",B147=TRUE),"RINDE FINAL","ADEUDA"))</f>
        <v/>
      </c>
      <c r="G147" s="9">
        <f>IF(OR(C147="SI",C147="SÍ",C147=TRUE),"✅ Aprobada",IF(OR(B147="SI",B147="SÍ",B147=TRUE),"⏳ Cursada (Rinde Final)","⚪ Pendiente"))</f>
        <v/>
      </c>
    </row>
    <row r="148" ht="20" customHeight="1">
      <c r="A148" s="11" t="inlineStr">
        <is>
          <t>LITERATURA NORTEAMERICANA "C"</t>
        </is>
      </c>
      <c r="B148" s="9" t="inlineStr">
        <is>
          <t>NO</t>
        </is>
      </c>
      <c r="C148" s="9" t="inlineStr">
        <is>
          <t>NO</t>
        </is>
      </c>
      <c r="D148" s="12" t="inlineStr">
        <is>
          <t>General / Optativas</t>
        </is>
      </c>
      <c r="E148" s="9">
        <f>IF(OR(B148="SI",B148="SÍ",B148=TRUE),"REGULAR","PENDIENTE")</f>
        <v/>
      </c>
      <c r="F148" s="9">
        <f>IF(OR(C148="SI",C148="SÍ",C148=TRUE),"APROBADA",IF(OR(B148="SI",B148="SÍ",B148=TRUE),"RINDE FINAL","ADEUDA"))</f>
        <v/>
      </c>
      <c r="G148" s="9">
        <f>IF(OR(C148="SI",C148="SÍ",C148=TRUE),"✅ Aprobada",IF(OR(B148="SI",B148="SÍ",B148=TRUE),"⏳ Cursada (Rinde Final)","⚪ Pendiente"))</f>
        <v/>
      </c>
    </row>
    <row r="149" ht="20" customHeight="1">
      <c r="A149" s="8" t="inlineStr">
        <is>
          <t>PRACTICA EN LABORATORIO DE IDIOMAS I "G"</t>
        </is>
      </c>
      <c r="B149" s="9" t="inlineStr">
        <is>
          <t>NO</t>
        </is>
      </c>
      <c r="C149" s="9" t="inlineStr">
        <is>
          <t>NO</t>
        </is>
      </c>
      <c r="D149" s="10" t="inlineStr">
        <is>
          <t>General / Optativas</t>
        </is>
      </c>
      <c r="E149" s="9">
        <f>IF(OR(B149="SI",B149="SÍ",B149=TRUE),"REGULAR","PENDIENTE")</f>
        <v/>
      </c>
      <c r="F149" s="9">
        <f>IF(OR(C149="SI",C149="SÍ",C149=TRUE),"APROBADA",IF(OR(B149="SI",B149="SÍ",B149=TRUE),"RINDE FINAL","ADEUDA"))</f>
        <v/>
      </c>
      <c r="G149" s="9">
        <f>IF(OR(C149="SI",C149="SÍ",C149=TRUE),"✅ Aprobada",IF(OR(B149="SI",B149="SÍ",B149=TRUE),"⏳ Cursada (Rinde Final)","⚪ Pendiente"))</f>
        <v/>
      </c>
    </row>
    <row r="150" ht="20" customHeight="1">
      <c r="A150" s="11" t="inlineStr">
        <is>
          <t>PSICOLOGIA EDUCACIONAL "G"</t>
        </is>
      </c>
      <c r="B150" s="9" t="inlineStr">
        <is>
          <t>NO</t>
        </is>
      </c>
      <c r="C150" s="9" t="inlineStr">
        <is>
          <t>NO</t>
        </is>
      </c>
      <c r="D150" s="12" t="inlineStr">
        <is>
          <t>General / Optativas</t>
        </is>
      </c>
      <c r="E150" s="9">
        <f>IF(OR(B150="SI",B150="SÍ",B150=TRUE),"REGULAR","PENDIENTE")</f>
        <v/>
      </c>
      <c r="F150" s="9">
        <f>IF(OR(C150="SI",C150="SÍ",C150=TRUE),"APROBADA",IF(OR(B150="SI",B150="SÍ",B150=TRUE),"RINDE FINAL","ADEUDA"))</f>
        <v/>
      </c>
      <c r="G150" s="9">
        <f>IF(OR(C150="SI",C150="SÍ",C150=TRUE),"✅ Aprobada",IF(OR(B150="SI",B150="SÍ",B150=TRUE),"⏳ Cursada (Rinde Final)","⚪ Pendiente"))</f>
        <v/>
      </c>
    </row>
    <row r="151" ht="20" customHeight="1">
      <c r="A151" s="8" t="inlineStr">
        <is>
          <t>REDACCION DEL DISCURSO ACADEMICO</t>
        </is>
      </c>
      <c r="B151" s="9" t="inlineStr">
        <is>
          <t>NO</t>
        </is>
      </c>
      <c r="C151" s="9" t="inlineStr">
        <is>
          <t>NO</t>
        </is>
      </c>
      <c r="D151" s="10" t="inlineStr">
        <is>
          <t>General / Optativas</t>
        </is>
      </c>
      <c r="E151" s="9">
        <f>IF(OR(B151="SI",B151="SÍ",B151=TRUE),"REGULAR","PENDIENTE")</f>
        <v/>
      </c>
      <c r="F151" s="9">
        <f>IF(OR(C151="SI",C151="SÍ",C151=TRUE),"APROBADA",IF(OR(B151="SI",B151="SÍ",B151=TRUE),"RINDE FINAL","ADEUDA"))</f>
        <v/>
      </c>
      <c r="G151" s="9">
        <f>IF(OR(C151="SI",C151="SÍ",C151=TRUE),"✅ Aprobada",IF(OR(B151="SI",B151="SÍ",B151=TRUE),"⏳ Cursada (Rinde Final)","⚪ Pendiente"))</f>
        <v/>
      </c>
    </row>
    <row r="152" ht="20" customHeight="1">
      <c r="A152" s="11" t="inlineStr">
        <is>
          <t>SISTEMA Y POLITICA EDUCATIVA (CUAT)</t>
        </is>
      </c>
      <c r="B152" s="9" t="inlineStr">
        <is>
          <t>NO</t>
        </is>
      </c>
      <c r="C152" s="9" t="inlineStr">
        <is>
          <t>NO</t>
        </is>
      </c>
      <c r="D152" s="12" t="inlineStr">
        <is>
          <t>General / Optativas</t>
        </is>
      </c>
      <c r="E152" s="9">
        <f>IF(OR(B152="SI",B152="SÍ",B152=TRUE),"REGULAR","PENDIENTE")</f>
        <v/>
      </c>
      <c r="F152" s="9">
        <f>IF(OR(C152="SI",C152="SÍ",C152=TRUE),"APROBADA",IF(OR(B152="SI",B152="SÍ",B152=TRUE),"RINDE FINAL","ADEUDA"))</f>
        <v/>
      </c>
      <c r="G152" s="9">
        <f>IF(OR(C152="SI",C152="SÍ",C152=TRUE),"✅ Aprobada",IF(OR(B152="SI",B152="SÍ",B152=TRUE),"⏳ Cursada (Rinde Final)","⚪ Pendiente"))</f>
        <v/>
      </c>
    </row>
    <row r="153" ht="20" customHeight="1">
      <c r="A153" s="8" t="inlineStr">
        <is>
          <t>TRABAJO DE CAMPO I "F"</t>
        </is>
      </c>
      <c r="B153" s="9" t="inlineStr">
        <is>
          <t>NO</t>
        </is>
      </c>
      <c r="C153" s="9" t="inlineStr">
        <is>
          <t>NO</t>
        </is>
      </c>
      <c r="D153" s="10" t="inlineStr">
        <is>
          <t>General / Optativas</t>
        </is>
      </c>
      <c r="E153" s="9">
        <f>IF(OR(B153="SI",B153="SÍ",B153=TRUE),"REGULAR","PENDIENTE")</f>
        <v/>
      </c>
      <c r="F153" s="9">
        <f>IF(OR(C153="SI",C153="SÍ",C153=TRUE),"APROBADA",IF(OR(B153="SI",B153="SÍ",B153=TRUE),"RINDE FINAL","ADEUDA"))</f>
        <v/>
      </c>
      <c r="G153" s="9">
        <f>IF(OR(C153="SI",C153="SÍ",C153=TRUE),"✅ Aprobada",IF(OR(B153="SI",B153="SÍ",B153=TRUE),"⏳ Cursada (Rinde Final)","⚪ Pendiente"))</f>
        <v/>
      </c>
    </row>
    <row r="154" ht="20" customHeight="1">
      <c r="A154" s="11" t="inlineStr">
        <is>
          <t>TRABAJO DE CAMPO II "E"</t>
        </is>
      </c>
      <c r="B154" s="9" t="inlineStr">
        <is>
          <t>NO</t>
        </is>
      </c>
      <c r="C154" s="9" t="inlineStr">
        <is>
          <t>NO</t>
        </is>
      </c>
      <c r="D154" s="12" t="inlineStr">
        <is>
          <t>General / Optativas</t>
        </is>
      </c>
      <c r="E154" s="9">
        <f>IF(OR(B154="SI",B154="SÍ",B154=TRUE),"REGULAR","PENDIENTE")</f>
        <v/>
      </c>
      <c r="F154" s="9">
        <f>IF(OR(C154="SI",C154="SÍ",C154=TRUE),"APROBADA",IF(OR(B154="SI",B154="SÍ",B154=TRUE),"RINDE FINAL","ADEUDA"))</f>
        <v/>
      </c>
      <c r="G154" s="9">
        <f>IF(OR(C154="SI",C154="SÍ",C154=TRUE),"✅ Aprobada",IF(OR(B154="SI",B154="SÍ",B154=TRUE),"⏳ Cursada (Rinde Final)","⚪ Pendiente"))</f>
        <v/>
      </c>
    </row>
    <row r="155" ht="20" customHeight="1">
      <c r="A155" s="8" t="inlineStr">
        <is>
          <t>TRABAJO DE CAMPO II "I"</t>
        </is>
      </c>
      <c r="B155" s="9" t="inlineStr">
        <is>
          <t>NO</t>
        </is>
      </c>
      <c r="C155" s="9" t="inlineStr">
        <is>
          <t>NO</t>
        </is>
      </c>
      <c r="D155" s="10" t="inlineStr">
        <is>
          <t>General / Optativas</t>
        </is>
      </c>
      <c r="E155" s="9">
        <f>IF(OR(B155="SI",B155="SÍ",B155=TRUE),"REGULAR","PENDIENTE")</f>
        <v/>
      </c>
      <c r="F155" s="9">
        <f>IF(OR(C155="SI",C155="SÍ",C155=TRUE),"APROBADA",IF(OR(B155="SI",B155="SÍ",B155=TRUE),"RINDE FINAL","ADEUDA"))</f>
        <v/>
      </c>
      <c r="G155" s="9">
        <f>IF(OR(C155="SI",C155="SÍ",C155=TRUE),"✅ Aprobada",IF(OR(B155="SI",B155="SÍ",B155=TRUE),"⏳ Cursada (Rinde Final)","⚪ Pendiente"))</f>
        <v/>
      </c>
    </row>
    <row r="156" ht="20" customHeight="1">
      <c r="A156" s="11" t="inlineStr">
        <is>
          <t>LENGUA INGLESA I "F"</t>
        </is>
      </c>
      <c r="B156" s="9" t="inlineStr">
        <is>
          <t>NO</t>
        </is>
      </c>
      <c r="C156" s="9" t="inlineStr">
        <is>
          <t>NO</t>
        </is>
      </c>
      <c r="D156" s="12" t="inlineStr">
        <is>
          <t>General / Optativas</t>
        </is>
      </c>
      <c r="E156" s="9">
        <f>IF(OR(B156="SI",B156="SÍ",B156=TRUE),"REGULAR","PENDIENTE")</f>
        <v/>
      </c>
      <c r="F156" s="9">
        <f>IF(OR(C156="SI",C156="SÍ",C156=TRUE),"APROBADA",IF(OR(B156="SI",B156="SÍ",B156=TRUE),"RINDE FINAL","ADEUDA"))</f>
        <v/>
      </c>
      <c r="G156" s="9">
        <f>IF(OR(C156="SI",C156="SÍ",C156=TRUE),"✅ Aprobada",IF(OR(B156="SI",B156="SÍ",B156=TRUE),"⏳ Cursada (Rinde Final)","⚪ Pendiente"))</f>
        <v/>
      </c>
    </row>
  </sheetData>
  <mergeCells count="17">
    <mergeCell ref="I12:J12"/>
    <mergeCell ref="A1:G1"/>
    <mergeCell ref="I16:J16"/>
    <mergeCell ref="I3:J3"/>
    <mergeCell ref="A124:G124"/>
    <mergeCell ref="I15:J15"/>
    <mergeCell ref="A55:G55"/>
    <mergeCell ref="A4:G4"/>
    <mergeCell ref="I11:J11"/>
    <mergeCell ref="A2:G2"/>
    <mergeCell ref="A86:G86"/>
    <mergeCell ref="I13:J13"/>
    <mergeCell ref="I14:J14"/>
    <mergeCell ref="A128:G128"/>
    <mergeCell ref="I17:J17"/>
    <mergeCell ref="A107:G107"/>
    <mergeCell ref="A133:G133"/>
  </mergeCells>
  <dataValidations count="1">
    <dataValidation sqref="B4:C156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2026-08-31T00:07:26Z</dcterms:created>
  <dcterms:modified xmlns:dcterms="http://purl.org/dc/terms/" xmlns:xsi="http://www.w3.org/2001/XMLSchema-instance" xsi:type="dcterms:W3CDTF">2026-08-31T00:07:27Z</dcterms:modified>
</cp:coreProperties>
</file>