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FRANCÉS</t>
        </is>
      </c>
      <c r="I1" s="2" t="inlineStr">
        <is>
          <t>CONTROL DE TRAYECTORIA</t>
        </is>
      </c>
    </row>
    <row r="2" ht="22" customHeight="1">
      <c r="A2" s="3" t="inlineStr">
        <is>
          <t>La Caravana + Estudiantes Independientes | Altillo JVG - ISP Joaquín V. González</t>
        </is>
      </c>
      <c r="I2" s="4" t="inlineStr">
        <is>
          <t>Total de Materias del Plan</t>
        </is>
      </c>
      <c r="J2" s="5" t="n">
        <v>24</v>
      </c>
    </row>
    <row r="3" ht="22" customHeight="1">
      <c r="I3" s="4" t="inlineStr">
        <is>
          <t>Materias con Cursada Regular</t>
        </is>
      </c>
      <c r="J3" s="5">
        <f>COUNTIF(B6:B34,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COUNTIF(C6:C34, "SI")</f>
        <v/>
      </c>
    </row>
    <row r="5" ht="22" customHeight="1">
      <c r="A5" s="7" t="inlineStr">
        <is>
          <t>📌 1° AÑO</t>
        </is>
      </c>
      <c r="I5" s="4" t="inlineStr">
        <is>
          <t>Finales Adeudados</t>
        </is>
      </c>
      <c r="J5" s="5">
        <f>COUNTIF(F6:F34, "ADEUDA FINAL")</f>
        <v/>
      </c>
    </row>
    <row r="6" ht="22" customHeight="1">
      <c r="A6" s="8" t="inlineStr">
        <is>
          <t>Pedagogía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COUNTIF(B6:B34, "SI")/24</f>
        <v/>
      </c>
    </row>
    <row r="7" ht="22" customHeight="1">
      <c r="A7" s="8" t="inlineStr">
        <is>
          <t>Didáctica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COUNTIF(C6:C34, "SI")/24</f>
        <v/>
      </c>
    </row>
    <row r="8" ht="20" customHeight="1">
      <c r="A8" s="8" t="inlineStr">
        <is>
          <t>Introducción a la Disciplina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Docente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2° AÑO</t>
        </is>
      </c>
      <c r="I10" s="14" t="inlineStr">
        <is>
          <t>1. Hace clic en la celda y elegi 'SI' o 'NO' desde el menu desplegable.</t>
        </is>
      </c>
    </row>
    <row r="11" ht="20" customHeight="1">
      <c r="A11" s="8" t="inlineStr">
        <is>
          <t>Psicología Educacional</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Sociología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Sujetos de la Educación</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Práctica Docente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3° AÑO</t>
        </is>
      </c>
      <c r="I15" s="14" t="inlineStr">
        <is>
          <t>6. Podes subir el archivo a tu Google Drive personal para editarlo online.</t>
        </is>
      </c>
    </row>
    <row r="16" ht="20" customHeight="1">
      <c r="A16" s="8" t="inlineStr">
        <is>
          <t>Historia Social de la Educación</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Residencia I</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Espacio de Definición Institucional</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0" customHeight="1">
      <c r="A19" s="8" t="inlineStr">
        <is>
          <t>Práctica Docente III</t>
        </is>
      </c>
      <c r="B19" s="9" t="inlineStr">
        <is>
          <t>NO</t>
        </is>
      </c>
      <c r="C19" s="9" t="inlineStr">
        <is>
          <t>NO</t>
        </is>
      </c>
      <c r="D19" s="10" t="inlineStr">
        <is>
          <t>3° Año</t>
        </is>
      </c>
      <c r="E19" s="10">
        <f>IF(B19="SI", "REGULAR", "PENDIENTE")</f>
        <v/>
      </c>
      <c r="F19" s="10">
        <f>IF(C19="SI", "APROBADO", IF(B19="SI", "ADEUDA FINAL", "ADEUDA"))</f>
        <v/>
      </c>
      <c r="G19" s="11">
        <f>IF(C19="SI", "🟢 Aprobada", IF(B19="SI", "🟡 Regular", "🟣 Pendiente"))</f>
        <v/>
      </c>
    </row>
    <row r="20" ht="22" customHeight="1">
      <c r="A20" s="7" t="inlineStr">
        <is>
          <t>📌 4° AÑO</t>
        </is>
      </c>
    </row>
    <row r="21" ht="20" customHeight="1">
      <c r="A21" s="8" t="inlineStr">
        <is>
          <t>Residencia II / Taller de Cierre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Ética y Trabajo Docente</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Investigación Educativa</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0" customHeight="1">
      <c r="A24" s="8" t="inlineStr">
        <is>
          <t>Práctica Docente IV</t>
        </is>
      </c>
      <c r="B24" s="9" t="inlineStr">
        <is>
          <t>NO</t>
        </is>
      </c>
      <c r="C24" s="9" t="inlineStr">
        <is>
          <t>NO</t>
        </is>
      </c>
      <c r="D24" s="10" t="inlineStr">
        <is>
          <t>4° Año</t>
        </is>
      </c>
      <c r="E24" s="10">
        <f>IF(B24="SI", "REGULAR", "PENDIENTE")</f>
        <v/>
      </c>
      <c r="F24" s="10">
        <f>IF(C24="SI", "APROBADO", IF(B24="SI", "ADEUDA FINAL", "ADEUDA"))</f>
        <v/>
      </c>
      <c r="G24" s="11">
        <f>IF(C24="SI", "🟢 Aprobada", IF(B24="SI", "🟡 Regular", "🟣 Pendiente"))</f>
        <v/>
      </c>
    </row>
    <row r="25" ht="22" customHeight="1">
      <c r="A25" s="7" t="inlineStr">
        <is>
          <t>📌 5° AÑO (NIVEL SUPERIOR / TRAMO SUPERIOR)</t>
        </is>
      </c>
    </row>
    <row r="26" ht="20" customHeight="1">
      <c r="A26" s="8" t="inlineStr">
        <is>
          <t>Seminario de Especialización Superior I</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Taller de Investigación Aplicada</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Didáctica de Nivel Superior</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0" customHeight="1">
      <c r="A29" s="8" t="inlineStr">
        <is>
          <t>Práctica de Nivel Superior I</t>
        </is>
      </c>
      <c r="B29" s="9" t="inlineStr">
        <is>
          <t>NO</t>
        </is>
      </c>
      <c r="C29" s="9" t="inlineStr">
        <is>
          <t>NO</t>
        </is>
      </c>
      <c r="D29" s="10" t="inlineStr">
        <is>
          <t>5° Año (Nivel Superior / Tramo Superior)</t>
        </is>
      </c>
      <c r="E29" s="10">
        <f>IF(B29="SI", "REGULAR", "PENDIENTE")</f>
        <v/>
      </c>
      <c r="F29" s="10">
        <f>IF(C29="SI", "APROBADO", IF(B29="SI", "ADEUDA FINAL", "ADEUDA"))</f>
        <v/>
      </c>
      <c r="G29" s="11">
        <f>IF(C29="SI", "🟢 Aprobada", IF(B29="SI", "🟡 Regular", "🟣 Pendiente"))</f>
        <v/>
      </c>
    </row>
    <row r="30" ht="22" customHeight="1">
      <c r="A30" s="7" t="inlineStr">
        <is>
          <t>📌 6° AÑO (NIVEL SUPERIOR / TRAMO SUPERIOR)</t>
        </is>
      </c>
    </row>
    <row r="31" ht="20" customHeight="1">
      <c r="A31" s="8" t="inlineStr">
        <is>
          <t>Seminario de Especialización Superior II</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Tesis / Trabajo Final de Licenciatura</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Práctica de Nivel Superior II</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0" customHeight="1">
      <c r="A34" s="8" t="inlineStr">
        <is>
          <t>Acreditación de Residencia Superior</t>
        </is>
      </c>
      <c r="B34" s="9" t="inlineStr">
        <is>
          <t>NO</t>
        </is>
      </c>
      <c r="C34" s="9" t="inlineStr">
        <is>
          <t>NO</t>
        </is>
      </c>
      <c r="D34" s="10" t="inlineStr">
        <is>
          <t>6° Año (Nivel Superior / Tramo Superior)</t>
        </is>
      </c>
      <c r="E34" s="10">
        <f>IF(B34="SI", "REGULAR", "PENDIENTE")</f>
        <v/>
      </c>
      <c r="F34" s="10">
        <f>IF(C34="SI", "APROBADO", IF(B34="SI", "ADEUDA FINAL", "ADEUDA"))</f>
        <v/>
      </c>
      <c r="G34" s="11">
        <f>IF(C34="SI", "🟢 Aprobada", IF(B34="SI", "🟡 Regular", "🟣 Pendiente"))</f>
        <v/>
      </c>
    </row>
  </sheetData>
  <mergeCells count="16">
    <mergeCell ref="I14:J14"/>
    <mergeCell ref="I12:J12"/>
    <mergeCell ref="A1:G1"/>
    <mergeCell ref="I15:J15"/>
    <mergeCell ref="I10:J10"/>
    <mergeCell ref="I1:K1"/>
    <mergeCell ref="I11:J11"/>
    <mergeCell ref="A20:G20"/>
    <mergeCell ref="A30:G30"/>
    <mergeCell ref="A2:G2"/>
    <mergeCell ref="A15:G15"/>
    <mergeCell ref="I13:J13"/>
    <mergeCell ref="A25:G25"/>
    <mergeCell ref="I9:J9"/>
    <mergeCell ref="A10:G10"/>
    <mergeCell ref="A5:G5"/>
  </mergeCells>
  <dataValidations count="1">
    <dataValidation sqref="B6 B7 B8 B9 B11 B12 B13 B14 B16 B17 B18 B19 B21 B22 B23 B24 B26 B27 B28 B29 B31 B32 B33 B34 C6 C7 C8 C9 C11 C12 C13 C14 C16 C17 C18 C19 C21 C22 C23 C24 C26 C27 C28 C29 C31 C32 C33 C34"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