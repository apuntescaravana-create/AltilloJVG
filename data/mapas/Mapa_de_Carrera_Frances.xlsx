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FRANCÉS</t>
        </is>
      </c>
      <c r="I1" s="2" t="inlineStr">
        <is>
          <t>CONTROL DE TRAYECTORIA</t>
        </is>
      </c>
    </row>
    <row r="2" ht="22" customHeight="1">
      <c r="A2" s="3" t="inlineStr">
        <is>
          <t>La Caravana + Estudiantes Independientes | Altillo JVG - ISP Joaquín V. González</t>
        </is>
      </c>
      <c r="I2" s="4" t="inlineStr">
        <is>
          <t>Total de Materias del Plan</t>
        </is>
      </c>
      <c r="J2" s="5" t="n">
        <v>32</v>
      </c>
    </row>
    <row r="3" ht="22" customHeight="1">
      <c r="I3" s="4" t="inlineStr">
        <is>
          <t>Materias con Cursada Regular</t>
        </is>
      </c>
      <c r="J3" s="5">
        <f>COUNTIF(B6:B41,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COUNTIF(C6:C41, "SI")</f>
        <v/>
      </c>
    </row>
    <row r="5" ht="22" customHeight="1">
      <c r="A5" s="7" t="inlineStr">
        <is>
          <t>📌 1° AÑO</t>
        </is>
      </c>
      <c r="I5" s="4" t="inlineStr">
        <is>
          <t>Finales Adeudados</t>
        </is>
      </c>
      <c r="J5" s="5">
        <f>COUNTIF(F6:F41, "ADEUDA FINAL")</f>
        <v/>
      </c>
    </row>
    <row r="6" ht="22" customHeight="1">
      <c r="A6" s="8" t="inlineStr">
        <is>
          <t>Lengua Francesa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COUNTIF(B6:B41, "SI")/32</f>
        <v/>
      </c>
    </row>
    <row r="7" ht="22" customHeight="1">
      <c r="A7" s="8" t="inlineStr">
        <is>
          <t>Fonética y Fonología Francesa I</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COUNTIF(C6:C41, "SI")/32</f>
        <v/>
      </c>
    </row>
    <row r="8" ht="20" customHeight="1">
      <c r="A8" s="8" t="inlineStr">
        <is>
          <t>Gramática Francesa I</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Práctica de Laboratorio y Expresión Oral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Civilización y Cultura Francesa I</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Pedagogía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Lectura, Escritura y Oralidad I (LEO 1)</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Construcción de la Práctica Docente en Nivel Inicial y Primario I</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7" t="inlineStr">
        <is>
          <t>📌 2° AÑO</t>
        </is>
      </c>
      <c r="I14" s="14" t="inlineStr">
        <is>
          <t>5. El panel lateral calcula tu avance y porcentaje de carrera en vivo.</t>
        </is>
      </c>
    </row>
    <row r="15" ht="20" customHeight="1">
      <c r="A15" s="8" t="inlineStr">
        <is>
          <t>Lengua Francesa II</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Fonética y Fonología Francesa II</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Gramática Francesa II</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Literatura Francesa I (Siglos XVI al XVIII)</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Civilización y Cultura Francesa II</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Didáctica General</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Psicología Educacional</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Sujetos de la Educación</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Construcción de la Práctica Docente en Nivel Inicial y Primario II y Residencia</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2" customHeight="1">
      <c r="A24" s="7" t="inlineStr">
        <is>
          <t>📌 3° AÑO</t>
        </is>
      </c>
    </row>
    <row r="25" ht="20" customHeight="1">
      <c r="A25" s="8" t="inlineStr">
        <is>
          <t>Lengua Francesa III</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Lingüística Aplicada al Francés</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Literatura Francesa II (Siglo XIX)</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Didáctica Especial y Construcción de la Práctica Docente en Nivel Medio I</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Historia Social de la Educación</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Derechos Humanos, Sociedad y Estado</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2" customHeight="1">
      <c r="A31" s="7" t="inlineStr">
        <is>
          <t>📌 4° AÑO</t>
        </is>
      </c>
    </row>
    <row r="32" ht="20" customHeight="1">
      <c r="A32" s="8" t="inlineStr">
        <is>
          <t>Lengua Francesa IV</t>
        </is>
      </c>
      <c r="B32" s="9" t="inlineStr">
        <is>
          <t>NO</t>
        </is>
      </c>
      <c r="C32" s="9" t="inlineStr">
        <is>
          <t>NO</t>
        </is>
      </c>
      <c r="D32" s="10" t="inlineStr">
        <is>
          <t>4° Año</t>
        </is>
      </c>
      <c r="E32" s="10">
        <f>IF(B32="SI", "REGULAR", "PENDIENTE")</f>
        <v/>
      </c>
      <c r="F32" s="10">
        <f>IF(C32="SI", "APROBADO", IF(B32="SI", "ADEUDA FINAL", "ADEUDA"))</f>
        <v/>
      </c>
      <c r="G32" s="11">
        <f>IF(C32="SI", "🟢 Aprobada", IF(B32="SI", "🟡 Regular", "🟣 Pendiente"))</f>
        <v/>
      </c>
    </row>
    <row r="33" ht="20" customHeight="1">
      <c r="A33" s="8" t="inlineStr">
        <is>
          <t>Literatura Francesa y Francófona Contemporánea (Siglo XX y XXI)</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Estudios Francófonos y Diversidad Cultural</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Didáctica Especial y Residencia en Nivel Medio y Superior</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Educación Sexual Integral (ESI)</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Ética y Trabajo Docente</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2" customHeight="1">
      <c r="A38" s="7" t="inlineStr">
        <is>
          <t>📌 TRAMO SUPERIOR / SEMINARIOS</t>
        </is>
      </c>
    </row>
    <row r="39" ht="20" customHeight="1">
      <c r="A39" s="8" t="inlineStr">
        <is>
          <t>Seminario de Literatura y Cine Francófono</t>
        </is>
      </c>
      <c r="B39" s="9" t="inlineStr">
        <is>
          <t>NO</t>
        </is>
      </c>
      <c r="C39" s="9" t="inlineStr">
        <is>
          <t>NO</t>
        </is>
      </c>
      <c r="D39" s="10" t="inlineStr">
        <is>
          <t>Tramo Superior / Seminarios</t>
        </is>
      </c>
      <c r="E39" s="10">
        <f>IF(B39="SI", "REGULAR", "PENDIENTE")</f>
        <v/>
      </c>
      <c r="F39" s="10">
        <f>IF(C39="SI", "APROBADO", IF(B39="SI", "ADEUDA FINAL", "ADEUDA"))</f>
        <v/>
      </c>
      <c r="G39" s="11">
        <f>IF(C39="SI", "🟢 Aprobada", IF(B39="SI", "🟡 Regular", "🟣 Pendiente"))</f>
        <v/>
      </c>
    </row>
    <row r="40" ht="20" customHeight="1">
      <c r="A40" s="8" t="inlineStr">
        <is>
          <t>Seminario de Lingüística y Didáctica del FLE</t>
        </is>
      </c>
      <c r="B40" s="9" t="inlineStr">
        <is>
          <t>NO</t>
        </is>
      </c>
      <c r="C40" s="9" t="inlineStr">
        <is>
          <t>NO</t>
        </is>
      </c>
      <c r="D40" s="10" t="inlineStr">
        <is>
          <t>Tramo Superior / Seminarios</t>
        </is>
      </c>
      <c r="E40" s="10">
        <f>IF(B40="SI", "REGULAR", "PENDIENTE")</f>
        <v/>
      </c>
      <c r="F40" s="10">
        <f>IF(C40="SI", "APROBADO", IF(B40="SI", "ADEUDA FINAL", "ADEUDA"))</f>
        <v/>
      </c>
      <c r="G40" s="11">
        <f>IF(C40="SI", "🟢 Aprobada", IF(B40="SI", "🟡 Regular", "🟣 Pendiente"))</f>
        <v/>
      </c>
    </row>
    <row r="41" ht="20" customHeight="1">
      <c r="A41" s="8" t="inlineStr">
        <is>
          <t>Taller de Traducción Francés-Español</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sheetData>
  <mergeCells count="15">
    <mergeCell ref="A14:G14"/>
    <mergeCell ref="I12:J12"/>
    <mergeCell ref="A1:G1"/>
    <mergeCell ref="A31:G31"/>
    <mergeCell ref="I15:J15"/>
    <mergeCell ref="I10:J10"/>
    <mergeCell ref="I1:K1"/>
    <mergeCell ref="I11:J11"/>
    <mergeCell ref="A24:G24"/>
    <mergeCell ref="A2:G2"/>
    <mergeCell ref="A38:G38"/>
    <mergeCell ref="I13:J13"/>
    <mergeCell ref="I14:J14"/>
    <mergeCell ref="I9:J9"/>
    <mergeCell ref="A5:G5"/>
  </mergeCells>
  <dataValidations count="1">
    <dataValidation sqref="B6 B7 B8 B9 B10 B11 B12 B13 B15 B16 B17 B18 B19 B20 B21 B22 B23 B25 B26 B27 B28 B29 B30 B32 B33 B34 B35 B36 B37 B39 B40 B41 C6 C7 C8 C9 C10 C11 C12 C13 C15 C16 C17 C18 C19 C20 C21 C22 C23 C25 C26 C27 C28 C29 C30 C32 C33 C34 C35 C36 C37 C39 C40 C41"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2026-08-31T01:11:54Z</dcterms:created>
  <dcterms:modified xmlns:dcterms="http://purl.org/dc/terms/" xmlns:xsi="http://www.w3.org/2001/XMLSchema-instance" xsi:type="dcterms:W3CDTF">2026-08-31T01:11:54Z</dcterms:modified>
</cp:coreProperties>
</file>