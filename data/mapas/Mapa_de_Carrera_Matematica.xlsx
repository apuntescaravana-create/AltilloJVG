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9"/>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MATEMÁTICA</t>
        </is>
      </c>
      <c r="I1" s="2" t="inlineStr">
        <is>
          <t>CONTROL DE TRAYECTORIA</t>
        </is>
      </c>
    </row>
    <row r="2" ht="22" customHeight="1">
      <c r="A2" s="3" t="inlineStr">
        <is>
          <t>La Caravana + Estudiantes Independientes | Altillo JVG - ISP Joaquín V. González</t>
        </is>
      </c>
      <c r="I2" s="4" t="inlineStr">
        <is>
          <t>Total de Materias del Plan</t>
        </is>
      </c>
      <c r="J2" s="5" t="n">
        <v>40</v>
      </c>
    </row>
    <row r="3" ht="22" customHeight="1">
      <c r="I3" s="4" t="inlineStr">
        <is>
          <t>Materias con Cursada Regular</t>
        </is>
      </c>
      <c r="J3" s="5">
        <f>COUNTIF(B6:B49,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COUNTIF(C6:C49, "SI")</f>
        <v/>
      </c>
    </row>
    <row r="5" ht="22" customHeight="1">
      <c r="A5" s="7" t="inlineStr">
        <is>
          <t>📌 1° AÑO</t>
        </is>
      </c>
      <c r="I5" s="4" t="inlineStr">
        <is>
          <t>Finales Adeudados</t>
        </is>
      </c>
      <c r="J5" s="5">
        <f>COUNTIF(F6:F49, "ADEUDA FINAL")</f>
        <v/>
      </c>
    </row>
    <row r="6" ht="22" customHeight="1">
      <c r="A6" s="8" t="inlineStr">
        <is>
          <t>Elementos Básicos de Matemática</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COUNTIF(B6:B49, "SI")/40</f>
        <v/>
      </c>
    </row>
    <row r="7" ht="22" customHeight="1">
      <c r="A7" s="8" t="inlineStr">
        <is>
          <t>Álgebra I</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COUNTIF(C6:C49, "SI")/40</f>
        <v/>
      </c>
    </row>
    <row r="8" ht="20" customHeight="1">
      <c r="A8" s="8" t="inlineStr">
        <is>
          <t>Geometría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Análisis Matemático I</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Introducción a la Matemática Superior</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Pedagogía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Psicología Educacional</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Sujeto del aprendizaje</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8" t="inlineStr">
        <is>
          <t>Lectura, Escritura y Oralidad I (LEO 1)</t>
        </is>
      </c>
      <c r="B14" s="9" t="inlineStr">
        <is>
          <t>NO</t>
        </is>
      </c>
      <c r="C14" s="9" t="inlineStr">
        <is>
          <t>NO</t>
        </is>
      </c>
      <c r="D14" s="10" t="inlineStr">
        <is>
          <t>1° Año</t>
        </is>
      </c>
      <c r="E14" s="10">
        <f>IF(B14="SI", "REGULAR", "PENDIENTE")</f>
        <v/>
      </c>
      <c r="F14" s="10">
        <f>IF(C14="SI", "APROBADO", IF(B14="SI", "ADEUDA FINAL", "ADEUDA"))</f>
        <v/>
      </c>
      <c r="G14" s="11">
        <f>IF(C14="SI", "🟢 Aprobada", IF(B14="SI", "🟡 Regular", "🟣 Pendiente"))</f>
        <v/>
      </c>
      <c r="I14" s="14" t="inlineStr">
        <is>
          <t>5. El panel lateral calcula tu avance y porcentaje de carrera en vivo.</t>
        </is>
      </c>
    </row>
    <row r="15" ht="20" customHeight="1">
      <c r="A15" s="8" t="inlineStr">
        <is>
          <t>Trabajo de Campo I</t>
        </is>
      </c>
      <c r="B15" s="9" t="inlineStr">
        <is>
          <t>NO</t>
        </is>
      </c>
      <c r="C15" s="9" t="inlineStr">
        <is>
          <t>NO</t>
        </is>
      </c>
      <c r="D15" s="10" t="inlineStr">
        <is>
          <t>1°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2" customHeight="1">
      <c r="A16" s="7" t="inlineStr">
        <is>
          <t>📌 2° AÑO</t>
        </is>
      </c>
    </row>
    <row r="17" ht="20" customHeight="1">
      <c r="A17" s="8" t="inlineStr">
        <is>
          <t>Álgebra II</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Geometría II</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Análisis Matemático II</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Física</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Nuevas tecnologías</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Filosofía</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0" customHeight="1">
      <c r="A23" s="8" t="inlineStr">
        <is>
          <t>Didáctica general</t>
        </is>
      </c>
      <c r="B23" s="9" t="inlineStr">
        <is>
          <t>NO</t>
        </is>
      </c>
      <c r="C23" s="9" t="inlineStr">
        <is>
          <t>NO</t>
        </is>
      </c>
      <c r="D23" s="10" t="inlineStr">
        <is>
          <t>2° Año</t>
        </is>
      </c>
      <c r="E23" s="10">
        <f>IF(B23="SI", "REGULAR", "PENDIENTE")</f>
        <v/>
      </c>
      <c r="F23" s="10">
        <f>IF(C23="SI", "APROBADO", IF(B23="SI", "ADEUDA FINAL", "ADEUDA"))</f>
        <v/>
      </c>
      <c r="G23" s="11">
        <f>IF(C23="SI", "🟢 Aprobada", IF(B23="SI", "🟡 Regular", "🟣 Pendiente"))</f>
        <v/>
      </c>
    </row>
    <row r="24" ht="20" customHeight="1">
      <c r="A24" s="8" t="inlineStr">
        <is>
          <t>Trabajo de Campo II</t>
        </is>
      </c>
      <c r="B24" s="9" t="inlineStr">
        <is>
          <t>NO</t>
        </is>
      </c>
      <c r="C24" s="9" t="inlineStr">
        <is>
          <t>NO</t>
        </is>
      </c>
      <c r="D24" s="10" t="inlineStr">
        <is>
          <t>2° Año</t>
        </is>
      </c>
      <c r="E24" s="10">
        <f>IF(B24="SI", "REGULAR", "PENDIENTE")</f>
        <v/>
      </c>
      <c r="F24" s="10">
        <f>IF(C24="SI", "APROBADO", IF(B24="SI", "ADEUDA FINAL", "ADEUDA"))</f>
        <v/>
      </c>
      <c r="G24" s="11">
        <f>IF(C24="SI", "🟢 Aprobada", IF(B24="SI", "🟡 Regular", "🟣 Pendiente"))</f>
        <v/>
      </c>
    </row>
    <row r="25" ht="22" customHeight="1">
      <c r="A25" s="7" t="inlineStr">
        <is>
          <t>📌 3° AÑO</t>
        </is>
      </c>
    </row>
    <row r="26" ht="20" customHeight="1">
      <c r="A26" s="8" t="inlineStr">
        <is>
          <t>TICS en el aula de matemática</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Álgebra III</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Probabilidades y estadística</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Historia de la Matemática</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Historia de la Educación Argentina</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DDHH, Estado y Sociedad</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0" customHeight="1">
      <c r="A32" s="8" t="inlineStr">
        <is>
          <t>Didáctica de la Matemática 1</t>
        </is>
      </c>
      <c r="B32" s="9" t="inlineStr">
        <is>
          <t>NO</t>
        </is>
      </c>
      <c r="C32" s="9" t="inlineStr">
        <is>
          <t>NO</t>
        </is>
      </c>
      <c r="D32" s="10" t="inlineStr">
        <is>
          <t>3° Año</t>
        </is>
      </c>
      <c r="E32" s="10">
        <f>IF(B32="SI", "REGULAR", "PENDIENTE")</f>
        <v/>
      </c>
      <c r="F32" s="10">
        <f>IF(C32="SI", "APROBADO", IF(B32="SI", "ADEUDA FINAL", "ADEUDA"))</f>
        <v/>
      </c>
      <c r="G32" s="11">
        <f>IF(C32="SI", "🟢 Aprobada", IF(B32="SI", "🟡 Regular", "🟣 Pendiente"))</f>
        <v/>
      </c>
    </row>
    <row r="33" ht="20" customHeight="1">
      <c r="A33" s="8" t="inlineStr">
        <is>
          <t>Lectura, Escritura y Oralidad II (LEO 2)</t>
        </is>
      </c>
      <c r="B33" s="9" t="inlineStr">
        <is>
          <t>NO</t>
        </is>
      </c>
      <c r="C33" s="9" t="inlineStr">
        <is>
          <t>NO</t>
        </is>
      </c>
      <c r="D33" s="10" t="inlineStr">
        <is>
          <t>3° Año</t>
        </is>
      </c>
      <c r="E33" s="10">
        <f>IF(B33="SI", "REGULAR", "PENDIENTE")</f>
        <v/>
      </c>
      <c r="F33" s="10">
        <f>IF(C33="SI", "APROBADO", IF(B33="SI", "ADEUDA FINAL", "ADEUDA"))</f>
        <v/>
      </c>
      <c r="G33" s="11">
        <f>IF(C33="SI", "🟢 Aprobada", IF(B33="SI", "🟡 Regular", "🟣 Pendiente"))</f>
        <v/>
      </c>
    </row>
    <row r="34" ht="20" customHeight="1">
      <c r="A34" s="8" t="inlineStr">
        <is>
          <t>Trabajo de Campo III</t>
        </is>
      </c>
      <c r="B34" s="9" t="inlineStr">
        <is>
          <t>NO</t>
        </is>
      </c>
      <c r="C34" s="9" t="inlineStr">
        <is>
          <t>NO</t>
        </is>
      </c>
      <c r="D34" s="10" t="inlineStr">
        <is>
          <t>3° Año</t>
        </is>
      </c>
      <c r="E34" s="10">
        <f>IF(B34="SI", "REGULAR", "PENDIENTE")</f>
        <v/>
      </c>
      <c r="F34" s="10">
        <f>IF(C34="SI", "APROBADO", IF(B34="SI", "ADEUDA FINAL", "ADEUDA"))</f>
        <v/>
      </c>
      <c r="G34" s="11">
        <f>IF(C34="SI", "🟢 Aprobada", IF(B34="SI", "🟡 Regular", "🟣 Pendiente"))</f>
        <v/>
      </c>
    </row>
    <row r="35" ht="22" customHeight="1">
      <c r="A35" s="7" t="inlineStr">
        <is>
          <t>📌 4° AÑO</t>
        </is>
      </c>
    </row>
    <row r="36" ht="20" customHeight="1">
      <c r="A36" s="8" t="inlineStr">
        <is>
          <t>Fundamentos de la Matemática</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Astronomía General Básica</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Lengua Extranjera</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Sistema y Política Educativa</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0" customHeight="1">
      <c r="A40" s="8" t="inlineStr">
        <is>
          <t>Didáctica de la Matemática 2</t>
        </is>
      </c>
      <c r="B40" s="9" t="inlineStr">
        <is>
          <t>NO</t>
        </is>
      </c>
      <c r="C40" s="9" t="inlineStr">
        <is>
          <t>NO</t>
        </is>
      </c>
      <c r="D40" s="10" t="inlineStr">
        <is>
          <t>4° Año</t>
        </is>
      </c>
      <c r="E40" s="10">
        <f>IF(B40="SI", "REGULAR", "PENDIENTE")</f>
        <v/>
      </c>
      <c r="F40" s="10">
        <f>IF(C40="SI", "APROBADO", IF(B40="SI", "ADEUDA FINAL", "ADEUDA"))</f>
        <v/>
      </c>
      <c r="G40" s="11">
        <f>IF(C40="SI", "🟢 Aprobada", IF(B40="SI", "🟡 Regular", "🟣 Pendiente"))</f>
        <v/>
      </c>
    </row>
    <row r="41" ht="20" customHeight="1">
      <c r="A41" s="8" t="inlineStr">
        <is>
          <t>Construcción de la Práctica Docente 1</t>
        </is>
      </c>
      <c r="B41" s="9" t="inlineStr">
        <is>
          <t>NO</t>
        </is>
      </c>
      <c r="C41" s="9" t="inlineStr">
        <is>
          <t>NO</t>
        </is>
      </c>
      <c r="D41" s="10" t="inlineStr">
        <is>
          <t>4° Año</t>
        </is>
      </c>
      <c r="E41" s="10">
        <f>IF(B41="SI", "REGULAR", "PENDIENTE")</f>
        <v/>
      </c>
      <c r="F41" s="10">
        <f>IF(C41="SI", "APROBADO", IF(B41="SI", "ADEUDA FINAL", "ADEUDA"))</f>
        <v/>
      </c>
      <c r="G41" s="11">
        <f>IF(C41="SI", "🟢 Aprobada", IF(B41="SI", "🟡 Regular", "🟣 Pendiente"))</f>
        <v/>
      </c>
    </row>
    <row r="42" ht="20" customHeight="1">
      <c r="A42" s="8" t="inlineStr">
        <is>
          <t>Reflexión y actualización de la práctica docente</t>
        </is>
      </c>
      <c r="B42" s="9" t="inlineStr">
        <is>
          <t>NO</t>
        </is>
      </c>
      <c r="C42" s="9" t="inlineStr">
        <is>
          <t>NO</t>
        </is>
      </c>
      <c r="D42" s="10" t="inlineStr">
        <is>
          <t>4° Año</t>
        </is>
      </c>
      <c r="E42" s="10">
        <f>IF(B42="SI", "REGULAR", "PENDIENTE")</f>
        <v/>
      </c>
      <c r="F42" s="10">
        <f>IF(C42="SI", "APROBADO", IF(B42="SI", "ADEUDA FINAL", "ADEUDA"))</f>
        <v/>
      </c>
      <c r="G42" s="11">
        <f>IF(C42="SI", "🟢 Aprobada", IF(B42="SI", "🟡 Regular", "🟣 Pendiente"))</f>
        <v/>
      </c>
    </row>
    <row r="43" ht="20" customHeight="1">
      <c r="A43" s="8" t="inlineStr">
        <is>
          <t>Esi</t>
        </is>
      </c>
      <c r="B43" s="9" t="inlineStr">
        <is>
          <t>NO</t>
        </is>
      </c>
      <c r="C43" s="9" t="inlineStr">
        <is>
          <t>NO</t>
        </is>
      </c>
      <c r="D43" s="10" t="inlineStr">
        <is>
          <t>4° Año</t>
        </is>
      </c>
      <c r="E43" s="10">
        <f>IF(B43="SI", "REGULAR", "PENDIENTE")</f>
        <v/>
      </c>
      <c r="F43" s="10">
        <f>IF(C43="SI", "APROBADO", IF(B43="SI", "ADEUDA FINAL", "ADEUDA"))</f>
        <v/>
      </c>
      <c r="G43" s="11">
        <f>IF(C43="SI", "🟢 Aprobada", IF(B43="SI", "🟡 Regular", "🟣 Pendiente"))</f>
        <v/>
      </c>
    </row>
    <row r="44" ht="22" customHeight="1">
      <c r="A44" s="7" t="inlineStr">
        <is>
          <t>📌 5° AÑO</t>
        </is>
      </c>
    </row>
    <row r="45" ht="20" customHeight="1">
      <c r="A45" s="8" t="inlineStr">
        <is>
          <t>Construcción de la Práctica Docente 2</t>
        </is>
      </c>
      <c r="B45" s="9" t="inlineStr">
        <is>
          <t>NO</t>
        </is>
      </c>
      <c r="C45" s="9" t="inlineStr">
        <is>
          <t>NO</t>
        </is>
      </c>
      <c r="D45" s="10" t="inlineStr">
        <is>
          <t>5° Año</t>
        </is>
      </c>
      <c r="E45" s="10">
        <f>IF(B45="SI", "REGULAR", "PENDIENTE")</f>
        <v/>
      </c>
      <c r="F45" s="10">
        <f>IF(C45="SI", "APROBADO", IF(B45="SI", "ADEUDA FINAL", "ADEUDA"))</f>
        <v/>
      </c>
      <c r="G45" s="11">
        <f>IF(C45="SI", "🟢 Aprobada", IF(B45="SI", "🟡 Regular", "🟣 Pendiente"))</f>
        <v/>
      </c>
    </row>
    <row r="46" ht="20" customHeight="1">
      <c r="A46" s="8" t="inlineStr">
        <is>
          <t>Temas avanzados de matemática</t>
        </is>
      </c>
      <c r="B46" s="9" t="inlineStr">
        <is>
          <t>NO</t>
        </is>
      </c>
      <c r="C46" s="9" t="inlineStr">
        <is>
          <t>NO</t>
        </is>
      </c>
      <c r="D46" s="10" t="inlineStr">
        <is>
          <t>5° Año</t>
        </is>
      </c>
      <c r="E46" s="10">
        <f>IF(B46="SI", "REGULAR", "PENDIENTE")</f>
        <v/>
      </c>
      <c r="F46" s="10">
        <f>IF(C46="SI", "APROBADO", IF(B46="SI", "ADEUDA FINAL", "ADEUDA"))</f>
        <v/>
      </c>
      <c r="G46" s="11">
        <f>IF(C46="SI", "🟢 Aprobada", IF(B46="SI", "🟡 Regular", "🟣 Pendiente"))</f>
        <v/>
      </c>
    </row>
    <row r="47" ht="20" customHeight="1">
      <c r="A47" s="8" t="inlineStr">
        <is>
          <t>Fundamentos de la física</t>
        </is>
      </c>
      <c r="B47" s="9" t="inlineStr">
        <is>
          <t>NO</t>
        </is>
      </c>
      <c r="C47" s="9" t="inlineStr">
        <is>
          <t>NO</t>
        </is>
      </c>
      <c r="D47" s="10" t="inlineStr">
        <is>
          <t>5° Año</t>
        </is>
      </c>
      <c r="E47" s="10">
        <f>IF(B47="SI", "REGULAR", "PENDIENTE")</f>
        <v/>
      </c>
      <c r="F47" s="10">
        <f>IF(C47="SI", "APROBADO", IF(B47="SI", "ADEUDA FINAL", "ADEUDA"))</f>
        <v/>
      </c>
      <c r="G47" s="11">
        <f>IF(C47="SI", "🟢 Aprobada", IF(B47="SI", "🟡 Regular", "🟣 Pendiente"))</f>
        <v/>
      </c>
    </row>
    <row r="48" ht="20" customHeight="1">
      <c r="A48" s="8" t="inlineStr">
        <is>
          <t>Análisis Matemático III</t>
        </is>
      </c>
      <c r="B48" s="9" t="inlineStr">
        <is>
          <t>NO</t>
        </is>
      </c>
      <c r="C48" s="9" t="inlineStr">
        <is>
          <t>NO</t>
        </is>
      </c>
      <c r="D48" s="10" t="inlineStr">
        <is>
          <t>5° Año</t>
        </is>
      </c>
      <c r="E48" s="10">
        <f>IF(B48="SI", "REGULAR", "PENDIENTE")</f>
        <v/>
      </c>
      <c r="F48" s="10">
        <f>IF(C48="SI", "APROBADO", IF(B48="SI", "ADEUDA FINAL", "ADEUDA"))</f>
        <v/>
      </c>
      <c r="G48" s="11">
        <f>IF(C48="SI", "🟢 Aprobada", IF(B48="SI", "🟡 Regular", "🟣 Pendiente"))</f>
        <v/>
      </c>
    </row>
    <row r="49" ht="20" customHeight="1">
      <c r="A49" s="8" t="inlineStr">
        <is>
          <t>Astronomía superior</t>
        </is>
      </c>
      <c r="B49" s="9" t="inlineStr">
        <is>
          <t>NO</t>
        </is>
      </c>
      <c r="C49" s="9" t="inlineStr">
        <is>
          <t>NO</t>
        </is>
      </c>
      <c r="D49" s="10" t="inlineStr">
        <is>
          <t>5° Año</t>
        </is>
      </c>
      <c r="E49" s="10">
        <f>IF(B49="SI", "REGULAR", "PENDIENTE")</f>
        <v/>
      </c>
      <c r="F49" s="10">
        <f>IF(C49="SI", "APROBADO", IF(B49="SI", "ADEUDA FINAL", "ADEUDA"))</f>
        <v/>
      </c>
      <c r="G49" s="11">
        <f>IF(C49="SI", "🟢 Aprobada", IF(B49="SI", "🟡 Regular", "🟣 Pendiente"))</f>
        <v/>
      </c>
    </row>
  </sheetData>
  <mergeCells count="15">
    <mergeCell ref="I14:J14"/>
    <mergeCell ref="A44:G44"/>
    <mergeCell ref="I12:J12"/>
    <mergeCell ref="A1:G1"/>
    <mergeCell ref="I15:J15"/>
    <mergeCell ref="I10:J10"/>
    <mergeCell ref="A35:G35"/>
    <mergeCell ref="I1:K1"/>
    <mergeCell ref="I11:J11"/>
    <mergeCell ref="A16:G16"/>
    <mergeCell ref="A2:G2"/>
    <mergeCell ref="I13:J13"/>
    <mergeCell ref="A25:G25"/>
    <mergeCell ref="I9:J9"/>
    <mergeCell ref="A5:G5"/>
  </mergeCells>
  <dataValidations count="1">
    <dataValidation sqref="B6 B7 B8 B9 B10 B11 B12 B13 B14 B15 B17 B18 B19 B20 B21 B22 B23 B24 B26 B27 B28 B29 B30 B31 B32 B33 B34 B36 B37 B38 B39 B40 B41 B42 B43 B45 B46 B47 B48 B49 C6 C7 C8 C9 C10 C11 C12 C13 C14 C15 C17 C18 C19 C20 C21 C22 C23 C24 C26 C27 C28 C29 C30 C31 C32 C33 C34 C36 C37 C38 C39 C40 C41 C42 C43 C45 C46 C47 C48 C49"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2026-08-31T01:47:26Z</dcterms:created>
  <dcterms:modified xmlns:dcterms="http://purl.org/dc/terms/" xmlns:xsi="http://www.w3.org/2001/XMLSchema-instance" xsi:type="dcterms:W3CDTF">2026-08-31T01:47:26Z</dcterms:modified>
</cp:coreProperties>
</file>