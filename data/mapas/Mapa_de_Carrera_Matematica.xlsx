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9"/>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MATEMÁTICA</t>
        </is>
      </c>
      <c r="I1" s="2" t="inlineStr">
        <is>
          <t>CONTROL DE TRAYECTORIA</t>
        </is>
      </c>
    </row>
    <row r="2" ht="22" customHeight="1">
      <c r="A2" s="3" t="inlineStr">
        <is>
          <t>La Caravana + Estudiantes Independientes | Altillo JVG - ISP Joaquín V. González</t>
        </is>
      </c>
      <c r="I2" s="4" t="inlineStr">
        <is>
          <t>Total de Materias del Plan</t>
        </is>
      </c>
      <c r="J2" s="5" t="n">
        <v>49</v>
      </c>
    </row>
    <row r="3" ht="22" customHeight="1">
      <c r="I3" s="4" t="inlineStr">
        <is>
          <t>Materias con Cursada Regular</t>
        </is>
      </c>
      <c r="J3" s="5">
        <f>COUNTIF(B6:B59,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COUNTIF(C6:C59, "SI")</f>
        <v/>
      </c>
    </row>
    <row r="5" ht="22" customHeight="1">
      <c r="A5" s="7" t="inlineStr">
        <is>
          <t>📌 1° AÑO</t>
        </is>
      </c>
      <c r="I5" s="4" t="inlineStr">
        <is>
          <t>Finales Adeudados</t>
        </is>
      </c>
      <c r="J5" s="5">
        <f>COUNTIF(F6:F59, "ADEUDA FINAL")</f>
        <v/>
      </c>
    </row>
    <row r="6" ht="22" customHeight="1">
      <c r="A6" s="8" t="inlineStr">
        <is>
          <t>Álgebra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COUNTIF(B6:B59, "SI")/49</f>
        <v/>
      </c>
    </row>
    <row r="7" ht="22" customHeight="1">
      <c r="A7" s="8" t="inlineStr">
        <is>
          <t>Análisis MATEMATICO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COUNTIF(C6:C59, "SI")/49</f>
        <v/>
      </c>
    </row>
    <row r="8" ht="20" customHeight="1">
      <c r="A8" s="8" t="inlineStr">
        <is>
          <t>ELEMENTOS Básica DE Matemática (Cuatr.)</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ELEMENTOS Básica DE Matemática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Geometria I</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INTR. A LA Matemática SUPERIOR</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INTRODUCCION A LA Matemática SUPERIOR</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Lectura, Escritura y Oralidad I (LEO 1)</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Pedagogía</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Psicología EDUCACIONAL</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Psicología EDUCACIONAL (1° CUATR.)</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0" customHeight="1">
      <c r="A17" s="8" t="inlineStr">
        <is>
          <t>Sujeto del Aprendizaje</t>
        </is>
      </c>
      <c r="B17" s="9" t="inlineStr">
        <is>
          <t>NO</t>
        </is>
      </c>
      <c r="C17" s="9" t="inlineStr">
        <is>
          <t>NO</t>
        </is>
      </c>
      <c r="D17" s="10" t="inlineStr">
        <is>
          <t>1° Año</t>
        </is>
      </c>
      <c r="E17" s="10">
        <f>IF(B17="SI", "REGULAR", "PENDIENTE")</f>
        <v/>
      </c>
      <c r="F17" s="10">
        <f>IF(C17="SI", "APROBADO", IF(B17="SI", "ADEUDA FINAL", "ADEUDA"))</f>
        <v/>
      </c>
      <c r="G17" s="11">
        <f>IF(C17="SI", "🟢 Aprobada", IF(B17="SI", "🟡 Regular", "🟣 Pendiente"))</f>
        <v/>
      </c>
    </row>
    <row r="18" ht="20" customHeight="1">
      <c r="A18" s="8" t="inlineStr">
        <is>
          <t>Trabajo de Campo I</t>
        </is>
      </c>
      <c r="B18" s="9" t="inlineStr">
        <is>
          <t>NO</t>
        </is>
      </c>
      <c r="C18" s="9" t="inlineStr">
        <is>
          <t>NO</t>
        </is>
      </c>
      <c r="D18" s="10" t="inlineStr">
        <is>
          <t>1° Año</t>
        </is>
      </c>
      <c r="E18" s="10">
        <f>IF(B18="SI", "REGULAR", "PENDIENTE")</f>
        <v/>
      </c>
      <c r="F18" s="10">
        <f>IF(C18="SI", "APROBADO", IF(B18="SI", "ADEUDA FINAL", "ADEUDA"))</f>
        <v/>
      </c>
      <c r="G18" s="11">
        <f>IF(C18="SI", "🟢 Aprobada", IF(B18="SI", "🟡 Regular", "🟣 Pendiente"))</f>
        <v/>
      </c>
    </row>
    <row r="19" ht="20" customHeight="1">
      <c r="A19" s="8" t="inlineStr">
        <is>
          <t>Trabajo de Campo I (cuatrimestral)</t>
        </is>
      </c>
      <c r="B19" s="9" t="inlineStr">
        <is>
          <t>NO</t>
        </is>
      </c>
      <c r="C19" s="9" t="inlineStr">
        <is>
          <t>NO</t>
        </is>
      </c>
      <c r="D19" s="10" t="inlineStr">
        <is>
          <t>1° Año</t>
        </is>
      </c>
      <c r="E19" s="10">
        <f>IF(B19="SI", "REGULAR", "PENDIENTE")</f>
        <v/>
      </c>
      <c r="F19" s="10">
        <f>IF(C19="SI", "APROBADO", IF(B19="SI", "ADEUDA FINAL", "ADEUDA"))</f>
        <v/>
      </c>
      <c r="G19" s="11">
        <f>IF(C19="SI", "🟢 Aprobada", IF(B19="SI", "🟡 Regular", "🟣 Pendiente"))</f>
        <v/>
      </c>
    </row>
    <row r="20" ht="22" customHeight="1">
      <c r="A20" s="7" t="inlineStr">
        <is>
          <t>📌 2° AÑO</t>
        </is>
      </c>
    </row>
    <row r="21" ht="20" customHeight="1">
      <c r="A21" s="8" t="inlineStr">
        <is>
          <t>Álgebra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Análisis MATEMATICO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Didáctica GENERAL</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Filosofía</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Física</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Geometria II</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Nuevas Tecnologias</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0" customHeight="1">
      <c r="A28" s="8" t="inlineStr">
        <is>
          <t>Trabajo de Campo II</t>
        </is>
      </c>
      <c r="B28" s="9" t="inlineStr">
        <is>
          <t>NO</t>
        </is>
      </c>
      <c r="C28" s="9" t="inlineStr">
        <is>
          <t>NO</t>
        </is>
      </c>
      <c r="D28" s="10" t="inlineStr">
        <is>
          <t>2° Año</t>
        </is>
      </c>
      <c r="E28" s="10">
        <f>IF(B28="SI", "REGULAR", "PENDIENTE")</f>
        <v/>
      </c>
      <c r="F28" s="10">
        <f>IF(C28="SI", "APROBADO", IF(B28="SI", "ADEUDA FINAL", "ADEUDA"))</f>
        <v/>
      </c>
      <c r="G28" s="11">
        <f>IF(C28="SI", "🟢 Aprobada", IF(B28="SI", "🟡 Regular", "🟣 Pendiente"))</f>
        <v/>
      </c>
    </row>
    <row r="29" ht="22" customHeight="1">
      <c r="A29" s="7" t="inlineStr">
        <is>
          <t>📌 3° AÑO</t>
        </is>
      </c>
    </row>
    <row r="30" ht="20" customHeight="1">
      <c r="A30" s="8" t="inlineStr">
        <is>
          <t>Álgebra III</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Derechos Humanos, SOCIEDAD Y ESTADO</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Didáctica DE LA Matemática</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HISTORIA DE LA Educación ARGENTINA</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HISTORIA DE LA Matemática</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Probabilidad y Estadistica</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Probabilidades y Estadistica</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0" customHeight="1">
      <c r="A37" s="8" t="inlineStr">
        <is>
          <t>TICS EN EL AULA DE Matemática</t>
        </is>
      </c>
      <c r="B37" s="9" t="inlineStr">
        <is>
          <t>NO</t>
        </is>
      </c>
      <c r="C37" s="9" t="inlineStr">
        <is>
          <t>NO</t>
        </is>
      </c>
      <c r="D37" s="10" t="inlineStr">
        <is>
          <t>3° Año</t>
        </is>
      </c>
      <c r="E37" s="10">
        <f>IF(B37="SI", "REGULAR", "PENDIENTE")</f>
        <v/>
      </c>
      <c r="F37" s="10">
        <f>IF(C37="SI", "APROBADO", IF(B37="SI", "ADEUDA FINAL", "ADEUDA"))</f>
        <v/>
      </c>
      <c r="G37" s="11">
        <f>IF(C37="SI", "🟢 Aprobada", IF(B37="SI", "🟡 Regular", "🟣 Pendiente"))</f>
        <v/>
      </c>
    </row>
    <row r="38" ht="20" customHeight="1">
      <c r="A38" s="8" t="inlineStr">
        <is>
          <t>Trab. de Campo Iii. Const. Trab. Mat</t>
        </is>
      </c>
      <c r="B38" s="9" t="inlineStr">
        <is>
          <t>NO</t>
        </is>
      </c>
      <c r="C38" s="9" t="inlineStr">
        <is>
          <t>NO</t>
        </is>
      </c>
      <c r="D38" s="10" t="inlineStr">
        <is>
          <t>3° Año</t>
        </is>
      </c>
      <c r="E38" s="10">
        <f>IF(B38="SI", "REGULAR", "PENDIENTE")</f>
        <v/>
      </c>
      <c r="F38" s="10">
        <f>IF(C38="SI", "APROBADO", IF(B38="SI", "ADEUDA FINAL", "ADEUDA"))</f>
        <v/>
      </c>
      <c r="G38" s="11">
        <f>IF(C38="SI", "🟢 Aprobada", IF(B38="SI", "🟡 Regular", "🟣 Pendiente"))</f>
        <v/>
      </c>
    </row>
    <row r="39" ht="20" customHeight="1">
      <c r="A39" s="8" t="inlineStr">
        <is>
          <t>Trabajo de Campo III</t>
        </is>
      </c>
      <c r="B39" s="9" t="inlineStr">
        <is>
          <t>NO</t>
        </is>
      </c>
      <c r="C39" s="9" t="inlineStr">
        <is>
          <t>NO</t>
        </is>
      </c>
      <c r="D39" s="10" t="inlineStr">
        <is>
          <t>3° Año</t>
        </is>
      </c>
      <c r="E39" s="10">
        <f>IF(B39="SI", "REGULAR", "PENDIENTE")</f>
        <v/>
      </c>
      <c r="F39" s="10">
        <f>IF(C39="SI", "APROBADO", IF(B39="SI", "ADEUDA FINAL", "ADEUDA"))</f>
        <v/>
      </c>
      <c r="G39" s="11">
        <f>IF(C39="SI", "🟢 Aprobada", IF(B39="SI", "🟡 Regular", "🟣 Pendiente"))</f>
        <v/>
      </c>
    </row>
    <row r="40" ht="22" customHeight="1">
      <c r="A40" s="7" t="inlineStr">
        <is>
          <t>📌 4° AÑO</t>
        </is>
      </c>
    </row>
    <row r="41" ht="20" customHeight="1">
      <c r="A41" s="8" t="inlineStr">
        <is>
          <t>ASTRONOMIA GRAL. Básica</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Construcción de la Práctica Docente</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Didáctica DE LA Matemática II</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ECUACIONES DIFERENCIALES (1° Cuatrim)</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Educación SEXUAL INTEGRAL (1º CUATR.)</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0" customHeight="1">
      <c r="A46" s="8" t="inlineStr">
        <is>
          <t>FUNDAMENTOS DE LA Matemática</t>
        </is>
      </c>
      <c r="B46" s="9" t="inlineStr">
        <is>
          <t>NO</t>
        </is>
      </c>
      <c r="C46" s="9" t="inlineStr">
        <is>
          <t>NO</t>
        </is>
      </c>
      <c r="D46" s="10" t="inlineStr">
        <is>
          <t>4° Año</t>
        </is>
      </c>
      <c r="E46" s="10">
        <f>IF(B46="SI", "REGULAR", "PENDIENTE")</f>
        <v/>
      </c>
      <c r="F46" s="10">
        <f>IF(C46="SI", "APROBADO", IF(B46="SI", "ADEUDA FINAL", "ADEUDA"))</f>
        <v/>
      </c>
      <c r="G46" s="11">
        <f>IF(C46="SI", "🟢 Aprobada", IF(B46="SI", "🟡 Regular", "🟣 Pendiente"))</f>
        <v/>
      </c>
    </row>
    <row r="47" ht="20" customHeight="1">
      <c r="A47" s="8" t="inlineStr">
        <is>
          <t>Lengua Extranjera (cuatrimestral)</t>
        </is>
      </c>
      <c r="B47" s="9" t="inlineStr">
        <is>
          <t>NO</t>
        </is>
      </c>
      <c r="C47" s="9" t="inlineStr">
        <is>
          <t>NO</t>
        </is>
      </c>
      <c r="D47" s="10" t="inlineStr">
        <is>
          <t>4° Año</t>
        </is>
      </c>
      <c r="E47" s="10">
        <f>IF(B47="SI", "REGULAR", "PENDIENTE")</f>
        <v/>
      </c>
      <c r="F47" s="10">
        <f>IF(C47="SI", "APROBADO", IF(B47="SI", "ADEUDA FINAL", "ADEUDA"))</f>
        <v/>
      </c>
      <c r="G47" s="11">
        <f>IF(C47="SI", "🟢 Aprobada", IF(B47="SI", "🟡 Regular", "🟣 Pendiente"))</f>
        <v/>
      </c>
    </row>
    <row r="48" ht="20" customHeight="1">
      <c r="A48" s="8" t="inlineStr">
        <is>
          <t>Reflexion y Act. S/la Pract.doc. (1° Cuatr.)</t>
        </is>
      </c>
      <c r="B48" s="9" t="inlineStr">
        <is>
          <t>NO</t>
        </is>
      </c>
      <c r="C48" s="9" t="inlineStr">
        <is>
          <t>NO</t>
        </is>
      </c>
      <c r="D48" s="10" t="inlineStr">
        <is>
          <t>4° Año</t>
        </is>
      </c>
      <c r="E48" s="10">
        <f>IF(B48="SI", "REGULAR", "PENDIENTE")</f>
        <v/>
      </c>
      <c r="F48" s="10">
        <f>IF(C48="SI", "APROBADO", IF(B48="SI", "ADEUDA FINAL", "ADEUDA"))</f>
        <v/>
      </c>
      <c r="G48" s="11">
        <f>IF(C48="SI", "🟢 Aprobada", IF(B48="SI", "🟡 Regular", "🟣 Pendiente"))</f>
        <v/>
      </c>
    </row>
    <row r="49" ht="20" customHeight="1">
      <c r="A49" s="8" t="inlineStr">
        <is>
          <t>SISTEMA Y Política Educativa (1° CUATR.)</t>
        </is>
      </c>
      <c r="B49" s="9" t="inlineStr">
        <is>
          <t>NO</t>
        </is>
      </c>
      <c r="C49" s="9" t="inlineStr">
        <is>
          <t>NO</t>
        </is>
      </c>
      <c r="D49" s="10" t="inlineStr">
        <is>
          <t>4° Año</t>
        </is>
      </c>
      <c r="E49" s="10">
        <f>IF(B49="SI", "REGULAR", "PENDIENTE")</f>
        <v/>
      </c>
      <c r="F49" s="10">
        <f>IF(C49="SI", "APROBADO", IF(B49="SI", "ADEUDA FINAL", "ADEUDA"))</f>
        <v/>
      </c>
      <c r="G49" s="11">
        <f>IF(C49="SI", "🟢 Aprobada", IF(B49="SI", "🟡 Regular", "🟣 Pendiente"))</f>
        <v/>
      </c>
    </row>
    <row r="50" ht="22" customHeight="1">
      <c r="A50" s="7" t="inlineStr">
        <is>
          <t>📌 5° AÑO (NIVEL SUPERIOR / TRAMO SUPERIOR)</t>
        </is>
      </c>
    </row>
    <row r="51" ht="20" customHeight="1">
      <c r="A51" s="8" t="inlineStr">
        <is>
          <t>Análisis MATEMÁTICO III</t>
        </is>
      </c>
      <c r="B51" s="9" t="inlineStr">
        <is>
          <t>NO</t>
        </is>
      </c>
      <c r="C51" s="9" t="inlineStr">
        <is>
          <t>NO</t>
        </is>
      </c>
      <c r="D51" s="10" t="inlineStr">
        <is>
          <t>5° Año (Nivel Superior / Tramo Superior)</t>
        </is>
      </c>
      <c r="E51" s="10">
        <f>IF(B51="SI", "REGULAR", "PENDIENTE")</f>
        <v/>
      </c>
      <c r="F51" s="10">
        <f>IF(C51="SI", "APROBADO", IF(B51="SI", "ADEUDA FINAL", "ADEUDA"))</f>
        <v/>
      </c>
      <c r="G51" s="11">
        <f>IF(C51="SI", "🟢 Aprobada", IF(B51="SI", "🟡 Regular", "🟣 Pendiente"))</f>
        <v/>
      </c>
    </row>
    <row r="52" ht="20" customHeight="1">
      <c r="A52" s="8" t="inlineStr">
        <is>
          <t>CONSTRUCCION DE LA Práctica DOCENTE II</t>
        </is>
      </c>
      <c r="B52" s="9" t="inlineStr">
        <is>
          <t>NO</t>
        </is>
      </c>
      <c r="C52" s="9" t="inlineStr">
        <is>
          <t>NO</t>
        </is>
      </c>
      <c r="D52" s="10" t="inlineStr">
        <is>
          <t>5° Año (Nivel Superior / Tramo Superior)</t>
        </is>
      </c>
      <c r="E52" s="10">
        <f>IF(B52="SI", "REGULAR", "PENDIENTE")</f>
        <v/>
      </c>
      <c r="F52" s="10">
        <f>IF(C52="SI", "APROBADO", IF(B52="SI", "ADEUDA FINAL", "ADEUDA"))</f>
        <v/>
      </c>
      <c r="G52" s="11">
        <f>IF(C52="SI", "🟢 Aprobada", IF(B52="SI", "🟡 Regular", "🟣 Pendiente"))</f>
        <v/>
      </c>
    </row>
    <row r="53" ht="20" customHeight="1">
      <c r="A53" s="8" t="inlineStr">
        <is>
          <t>FUNDAMENTOS DE LA Física</t>
        </is>
      </c>
      <c r="B53" s="9" t="inlineStr">
        <is>
          <t>NO</t>
        </is>
      </c>
      <c r="C53" s="9" t="inlineStr">
        <is>
          <t>NO</t>
        </is>
      </c>
      <c r="D53" s="10" t="inlineStr">
        <is>
          <t>5° Año (Nivel Superior / Tramo Superior)</t>
        </is>
      </c>
      <c r="E53" s="10">
        <f>IF(B53="SI", "REGULAR", "PENDIENTE")</f>
        <v/>
      </c>
      <c r="F53" s="10">
        <f>IF(C53="SI", "APROBADO", IF(B53="SI", "ADEUDA FINAL", "ADEUDA"))</f>
        <v/>
      </c>
      <c r="G53" s="11">
        <f>IF(C53="SI", "🟢 Aprobada", IF(B53="SI", "🟡 Regular", "🟣 Pendiente"))</f>
        <v/>
      </c>
    </row>
    <row r="54" ht="20" customHeight="1">
      <c r="A54" s="8" t="inlineStr">
        <is>
          <t>TEMAS AVANZADOS DE Matemática</t>
        </is>
      </c>
      <c r="B54" s="9" t="inlineStr">
        <is>
          <t>NO</t>
        </is>
      </c>
      <c r="C54" s="9" t="inlineStr">
        <is>
          <t>NO</t>
        </is>
      </c>
      <c r="D54" s="10" t="inlineStr">
        <is>
          <t>5° Año (Nivel Superior / Tramo Superior)</t>
        </is>
      </c>
      <c r="E54" s="10">
        <f>IF(B54="SI", "REGULAR", "PENDIENTE")</f>
        <v/>
      </c>
      <c r="F54" s="10">
        <f>IF(C54="SI", "APROBADO", IF(B54="SI", "ADEUDA FINAL", "ADEUDA"))</f>
        <v/>
      </c>
      <c r="G54" s="11">
        <f>IF(C54="SI", "🟢 Aprobada", IF(B54="SI", "🟡 Regular", "🟣 Pendiente"))</f>
        <v/>
      </c>
    </row>
    <row r="55" ht="22" customHeight="1">
      <c r="A55" s="7" t="inlineStr">
        <is>
          <t>📌 6° AÑO (NIVEL SUPERIOR / TRAMO SUPERIOR)</t>
        </is>
      </c>
    </row>
    <row r="56" ht="20" customHeight="1">
      <c r="A56" s="8" t="inlineStr">
        <is>
          <t>Seminario de Especialización Superior II</t>
        </is>
      </c>
      <c r="B56" s="9" t="inlineStr">
        <is>
          <t>NO</t>
        </is>
      </c>
      <c r="C56" s="9" t="inlineStr">
        <is>
          <t>NO</t>
        </is>
      </c>
      <c r="D56" s="10" t="inlineStr">
        <is>
          <t>6° Año (Nivel Superior / Tramo Superior)</t>
        </is>
      </c>
      <c r="E56" s="10">
        <f>IF(B56="SI", "REGULAR", "PENDIENTE")</f>
        <v/>
      </c>
      <c r="F56" s="10">
        <f>IF(C56="SI", "APROBADO", IF(B56="SI", "ADEUDA FINAL", "ADEUDA"))</f>
        <v/>
      </c>
      <c r="G56" s="11">
        <f>IF(C56="SI", "🟢 Aprobada", IF(B56="SI", "🟡 Regular", "🟣 Pendiente"))</f>
        <v/>
      </c>
    </row>
    <row r="57" ht="20" customHeight="1">
      <c r="A57" s="8" t="inlineStr">
        <is>
          <t>Tesis / Trabajo Final de Licenciatura</t>
        </is>
      </c>
      <c r="B57" s="9" t="inlineStr">
        <is>
          <t>NO</t>
        </is>
      </c>
      <c r="C57" s="9" t="inlineStr">
        <is>
          <t>NO</t>
        </is>
      </c>
      <c r="D57" s="10" t="inlineStr">
        <is>
          <t>6° Año (Nivel Superior / Tramo Superior)</t>
        </is>
      </c>
      <c r="E57" s="10">
        <f>IF(B57="SI", "REGULAR", "PENDIENTE")</f>
        <v/>
      </c>
      <c r="F57" s="10">
        <f>IF(C57="SI", "APROBADO", IF(B57="SI", "ADEUDA FINAL", "ADEUDA"))</f>
        <v/>
      </c>
      <c r="G57" s="11">
        <f>IF(C57="SI", "🟢 Aprobada", IF(B57="SI", "🟡 Regular", "🟣 Pendiente"))</f>
        <v/>
      </c>
    </row>
    <row r="58" ht="20" customHeight="1">
      <c r="A58" s="8" t="inlineStr">
        <is>
          <t>Práctica de Nivel Superior II</t>
        </is>
      </c>
      <c r="B58" s="9" t="inlineStr">
        <is>
          <t>NO</t>
        </is>
      </c>
      <c r="C58" s="9" t="inlineStr">
        <is>
          <t>NO</t>
        </is>
      </c>
      <c r="D58" s="10" t="inlineStr">
        <is>
          <t>6° Año (Nivel Superior / Tramo Superior)</t>
        </is>
      </c>
      <c r="E58" s="10">
        <f>IF(B58="SI", "REGULAR", "PENDIENTE")</f>
        <v/>
      </c>
      <c r="F58" s="10">
        <f>IF(C58="SI", "APROBADO", IF(B58="SI", "ADEUDA FINAL", "ADEUDA"))</f>
        <v/>
      </c>
      <c r="G58" s="11">
        <f>IF(C58="SI", "🟢 Aprobada", IF(B58="SI", "🟡 Regular", "🟣 Pendiente"))</f>
        <v/>
      </c>
    </row>
    <row r="59" ht="20" customHeight="1">
      <c r="A59" s="8" t="inlineStr">
        <is>
          <t>Acreditación de Residencia Superior</t>
        </is>
      </c>
      <c r="B59" s="9" t="inlineStr">
        <is>
          <t>NO</t>
        </is>
      </c>
      <c r="C59" s="9" t="inlineStr">
        <is>
          <t>NO</t>
        </is>
      </c>
      <c r="D59" s="10" t="inlineStr">
        <is>
          <t>6° Año (Nivel Superior / Tramo Superior)</t>
        </is>
      </c>
      <c r="E59" s="10">
        <f>IF(B59="SI", "REGULAR", "PENDIENTE")</f>
        <v/>
      </c>
      <c r="F59" s="10">
        <f>IF(C59="SI", "APROBADO", IF(B59="SI", "ADEUDA FINAL", "ADEUDA"))</f>
        <v/>
      </c>
      <c r="G59" s="11">
        <f>IF(C59="SI", "🟢 Aprobada", IF(B59="SI", "🟡 Regular", "🟣 Pendiente"))</f>
        <v/>
      </c>
    </row>
  </sheetData>
  <mergeCells count="16">
    <mergeCell ref="I12:J12"/>
    <mergeCell ref="A1:G1"/>
    <mergeCell ref="A40:G40"/>
    <mergeCell ref="I15:J15"/>
    <mergeCell ref="I10:J10"/>
    <mergeCell ref="A55:G55"/>
    <mergeCell ref="A50:G50"/>
    <mergeCell ref="I1:K1"/>
    <mergeCell ref="I11:J11"/>
    <mergeCell ref="A20:G20"/>
    <mergeCell ref="A2:G2"/>
    <mergeCell ref="A29:G29"/>
    <mergeCell ref="I13:J13"/>
    <mergeCell ref="I14:J14"/>
    <mergeCell ref="I9:J9"/>
    <mergeCell ref="A5:G5"/>
  </mergeCells>
  <dataValidations count="1">
    <dataValidation sqref="B6 B7 B8 B9 B10 B11 B12 B13 B14 B15 B16 B17 B18 B19 B21 B22 B23 B24 B25 B26 B27 B28 B30 B31 B32 B33 B34 B35 B36 B37 B38 B39 B41 B42 B43 B44 B45 B46 B47 B48 B49 B51 B52 B53 B54 B56 B57 B58 B59 C6 C7 C8 C9 C10 C11 C12 C13 C14 C15 C16 C17 C18 C19 C21 C22 C23 C24 C25 C26 C27 C28 C30 C31 C32 C33 C34 C35 C36 C37 C38 C39 C41 C42 C43 C44 C45 C46 C47 C48 C49 C51 C52 C53 C54 C56 C57 C58 C59"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2026-08-31T00:38:51Z</dcterms:created>
  <dcterms:modified xmlns:dcterms="http://purl.org/dc/terms/" xmlns:xsi="http://www.w3.org/2001/XMLSchema-instance" xsi:type="dcterms:W3CDTF">2026-08-31T00:38:51Z</dcterms:modified>
</cp:coreProperties>
</file>