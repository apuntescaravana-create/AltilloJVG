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64748B"/>
      <sz val="9"/>
    </font>
    <font>
      <name val="Arial"/>
      <b val="1"/>
      <color rgb="000B2545"/>
      <sz val="11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134074"/>
        <bgColor rgb="00134074"/>
      </patternFill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6" fillId="6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4" customWidth="1" min="4" max="4"/>
    <col width="18" customWidth="1" min="5" max="5"/>
    <col width="20" customWidth="1" min="6" max="6"/>
    <col width="24" customWidth="1" min="7" max="7"/>
    <col width="30" customWidth="1" min="9" max="9"/>
    <col width="18" customWidth="1" min="10" max="10"/>
  </cols>
  <sheetData>
    <row r="1" ht="32" customHeight="1">
      <c r="A1" s="1" t="inlineStr">
        <is>
          <t>MAPA DE CARRERA | PROFESORADO DE MATEMÁTICA</t>
        </is>
      </c>
    </row>
    <row r="2" ht="20" customHeight="1">
      <c r="A2" s="2" t="inlineStr">
        <is>
          <t>La Caravana + Estudiantes Independientes | Altillo JVG - ISP Joaquín V. González</t>
        </is>
      </c>
    </row>
    <row r="3" ht="28" customHeight="1">
      <c r="A3" s="3" t="inlineStr">
        <is>
          <t>Asignatura / Materia</t>
        </is>
      </c>
      <c r="B3" s="3" t="inlineStr">
        <is>
          <t>¿Cursada Regular? (SI/NO)</t>
        </is>
      </c>
      <c r="C3" s="3" t="inlineStr">
        <is>
          <t>¿Final Aprobado? (SI/NO)</t>
        </is>
      </c>
      <c r="D3" s="3" t="inlineStr">
        <is>
          <t>Régimen / Año</t>
        </is>
      </c>
      <c r="E3" s="3" t="inlineStr">
        <is>
          <t>¿Cursada?</t>
        </is>
      </c>
      <c r="F3" s="3" t="inlineStr">
        <is>
          <t>¿Final?</t>
        </is>
      </c>
      <c r="G3" s="3" t="inlineStr">
        <is>
          <t>Estado de Avance</t>
        </is>
      </c>
      <c r="I3" s="4" t="inlineStr">
        <is>
          <t>📊 RESUMEN DE AVANCE</t>
        </is>
      </c>
    </row>
    <row r="4" ht="24" customHeight="1">
      <c r="A4" s="5" t="inlineStr">
        <is>
          <t>📌 1° AÑO</t>
        </is>
      </c>
      <c r="I4" s="6" t="inlineStr">
        <is>
          <t>Total Materias del Plan</t>
        </is>
      </c>
      <c r="J4" s="7" t="n">
        <v>85</v>
      </c>
    </row>
    <row r="5" ht="24" customHeight="1">
      <c r="A5" s="8" t="inlineStr">
        <is>
          <t>ALGEBRA I "A"</t>
        </is>
      </c>
      <c r="B5" s="9" t="inlineStr">
        <is>
          <t>NO</t>
        </is>
      </c>
      <c r="C5" s="9" t="inlineStr">
        <is>
          <t>NO</t>
        </is>
      </c>
      <c r="D5" s="10" t="inlineStr">
        <is>
          <t>1° Año</t>
        </is>
      </c>
      <c r="E5" s="9">
        <f>IF(OR(B5="SI",B5="SÍ",B5=TRUE),"REGULAR","PENDIENTE")</f>
        <v/>
      </c>
      <c r="F5" s="9">
        <f>IF(OR(C5="SI",C5="SÍ",C5=TRUE),"APROBADA",IF(OR(B5="SI",B5="SÍ",B5=TRUE),"RINDE FINAL","ADEUDA"))</f>
        <v/>
      </c>
      <c r="G5" s="9">
        <f>IF(OR(C5="SI",C5="SÍ",C5=TRUE),"✅ Aprobada",IF(OR(B5="SI",B5="SÍ",B5=TRUE),"⏳ Cursada (Rinde Final)","⚪ Pendiente"))</f>
        <v/>
      </c>
      <c r="I5" s="6" t="inlineStr">
        <is>
          <t>Cursadas Regulares</t>
        </is>
      </c>
      <c r="J5" s="7">
        <f>COUNTIF(B4:B94, "S*") + COUNTIF(B4:B94, TRUE)</f>
        <v/>
      </c>
    </row>
    <row r="6" ht="24" customHeight="1">
      <c r="A6" s="11" t="inlineStr">
        <is>
          <t>ALGEBRA I "B"</t>
        </is>
      </c>
      <c r="B6" s="9" t="inlineStr">
        <is>
          <t>NO</t>
        </is>
      </c>
      <c r="C6" s="9" t="inlineStr">
        <is>
          <t>NO</t>
        </is>
      </c>
      <c r="D6" s="12" t="inlineStr">
        <is>
          <t>1° Año</t>
        </is>
      </c>
      <c r="E6" s="9">
        <f>IF(OR(B6="SI",B6="SÍ",B6=TRUE),"REGULAR","PENDIENTE")</f>
        <v/>
      </c>
      <c r="F6" s="9">
        <f>IF(OR(C6="SI",C6="SÍ",C6=TRUE),"APROBADA",IF(OR(B6="SI",B6="SÍ",B6=TRUE),"RINDE FINAL","ADEUDA"))</f>
        <v/>
      </c>
      <c r="G6" s="9">
        <f>IF(OR(C6="SI",C6="SÍ",C6=TRUE),"✅ Aprobada",IF(OR(B6="SI",B6="SÍ",B6=TRUE),"⏳ Cursada (Rinde Final)","⚪ Pendiente"))</f>
        <v/>
      </c>
      <c r="I6" s="6" t="inlineStr">
        <is>
          <t>Finales Aprobados</t>
        </is>
      </c>
      <c r="J6" s="7">
        <f>COUNTIF(C4:C94, "S*") + COUNTIF(C4:C94, TRUE)</f>
        <v/>
      </c>
    </row>
    <row r="7" ht="24" customHeight="1">
      <c r="A7" s="8" t="inlineStr">
        <is>
          <t>ALGEBRA I "C"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1° Año</t>
        </is>
      </c>
      <c r="E7" s="9">
        <f>IF(OR(B7="SI",B7="SÍ",B7=TRUE),"REGULAR","PENDIENTE")</f>
        <v/>
      </c>
      <c r="F7" s="9">
        <f>IF(OR(C7="SI",C7="SÍ",C7=TRUE),"APROBADA",IF(OR(B7="SI",B7="SÍ",B7=TRUE),"RINDE FINAL","ADEUDA"))</f>
        <v/>
      </c>
      <c r="G7" s="9">
        <f>IF(OR(C7="SI",C7="SÍ",C7=TRUE),"✅ Aprobada",IF(OR(B7="SI",B7="SÍ",B7=TRUE),"⏳ Cursada (Rinde Final)","⚪ Pendiente"))</f>
        <v/>
      </c>
      <c r="I7" s="6" t="inlineStr">
        <is>
          <t>Finales Adeudados</t>
        </is>
      </c>
      <c r="J7" s="7">
        <f>J5-J6</f>
        <v/>
      </c>
    </row>
    <row r="8" ht="24" customHeight="1">
      <c r="A8" s="11" t="inlineStr">
        <is>
          <t>ANALISIS MATEMATICO I "A"</t>
        </is>
      </c>
      <c r="B8" s="9" t="inlineStr">
        <is>
          <t>NO</t>
        </is>
      </c>
      <c r="C8" s="9" t="inlineStr">
        <is>
          <t>NO</t>
        </is>
      </c>
      <c r="D8" s="12" t="inlineStr">
        <is>
          <t>1° Año</t>
        </is>
      </c>
      <c r="E8" s="9">
        <f>IF(OR(B8="SI",B8="SÍ",B8=TRUE),"REGULAR","PENDIENTE")</f>
        <v/>
      </c>
      <c r="F8" s="9">
        <f>IF(OR(C8="SI",C8="SÍ",C8=TRUE),"APROBADA",IF(OR(B8="SI",B8="SÍ",B8=TRUE),"RINDE FINAL","ADEUDA"))</f>
        <v/>
      </c>
      <c r="G8" s="9">
        <f>IF(OR(C8="SI",C8="SÍ",C8=TRUE),"✅ Aprobada",IF(OR(B8="SI",B8="SÍ",B8=TRUE),"⏳ Cursada (Rinde Final)","⚪ Pendiente"))</f>
        <v/>
      </c>
      <c r="I8" s="6" t="inlineStr">
        <is>
          <t>% Cursadas Completadas</t>
        </is>
      </c>
      <c r="J8" s="13">
        <f>J5/85</f>
        <v/>
      </c>
    </row>
    <row r="9" ht="24" customHeight="1">
      <c r="A9" s="8" t="inlineStr">
        <is>
          <t>ANALISIS MATEMATICO I "B"</t>
        </is>
      </c>
      <c r="B9" s="9" t="inlineStr">
        <is>
          <t>NO</t>
        </is>
      </c>
      <c r="C9" s="9" t="inlineStr">
        <is>
          <t>NO</t>
        </is>
      </c>
      <c r="D9" s="10" t="inlineStr">
        <is>
          <t>1° Año</t>
        </is>
      </c>
      <c r="E9" s="9">
        <f>IF(OR(B9="SI",B9="SÍ",B9=TRUE),"REGULAR","PENDIENTE")</f>
        <v/>
      </c>
      <c r="F9" s="9">
        <f>IF(OR(C9="SI",C9="SÍ",C9=TRUE),"APROBADA",IF(OR(B9="SI",B9="SÍ",B9=TRUE),"RINDE FINAL","ADEUDA"))</f>
        <v/>
      </c>
      <c r="G9" s="9">
        <f>IF(OR(C9="SI",C9="SÍ",C9=TRUE),"✅ Aprobada",IF(OR(B9="SI",B9="SÍ",B9=TRUE),"⏳ Cursada (Rinde Final)","⚪ Pendiente"))</f>
        <v/>
      </c>
      <c r="I9" s="6" t="inlineStr">
        <is>
          <t>% Carrera Aprobada (Finales)</t>
        </is>
      </c>
      <c r="J9" s="13">
        <f>J6/85</f>
        <v/>
      </c>
    </row>
    <row r="10" ht="20" customHeight="1">
      <c r="A10" s="11" t="inlineStr">
        <is>
          <t>ANALISIS MATEMATICO I "C"</t>
        </is>
      </c>
      <c r="B10" s="9" t="inlineStr">
        <is>
          <t>NO</t>
        </is>
      </c>
      <c r="C10" s="9" t="inlineStr">
        <is>
          <t>NO</t>
        </is>
      </c>
      <c r="D10" s="12" t="inlineStr">
        <is>
          <t>1° Año</t>
        </is>
      </c>
      <c r="E10" s="9">
        <f>IF(OR(B10="SI",B10="SÍ",B10=TRUE),"REGULAR","PENDIENTE")</f>
        <v/>
      </c>
      <c r="F10" s="9">
        <f>IF(OR(C10="SI",C10="SÍ",C10=TRUE),"APROBADA",IF(OR(B10="SI",B10="SÍ",B10=TRUE),"RINDE FINAL","ADEUDA"))</f>
        <v/>
      </c>
      <c r="G10" s="9">
        <f>IF(OR(C10="SI",C10="SÍ",C10=TRUE),"✅ Aprobada",IF(OR(B10="SI",B10="SÍ",B10=TRUE),"⏳ Cursada (Rinde Final)","⚪ Pendiente"))</f>
        <v/>
      </c>
    </row>
    <row r="11" ht="20" customHeight="1">
      <c r="A11" s="8" t="inlineStr">
        <is>
          <t>ANALISIS MATEMÁTICO I "C"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1° Año</t>
        </is>
      </c>
      <c r="E11" s="9">
        <f>IF(OR(B11="SI",B11="SÍ",B11=TRUE),"REGULAR","PENDIENTE")</f>
        <v/>
      </c>
      <c r="F11" s="9">
        <f>IF(OR(C11="SI",C11="SÍ",C11=TRUE),"APROBADA",IF(OR(B11="SI",B11="SÍ",B11=TRUE),"RINDE FINAL","ADEUDA"))</f>
        <v/>
      </c>
      <c r="G11" s="9">
        <f>IF(OR(C11="SI",C11="SÍ",C11=TRUE),"✅ Aprobada",IF(OR(B11="SI",B11="SÍ",B11=TRUE),"⏳ Cursada (Rinde Final)","⚪ Pendiente"))</f>
        <v/>
      </c>
      <c r="I11" s="14" t="inlineStr">
        <is>
          <t>💡 INSTRUCCIONES DE USO</t>
        </is>
      </c>
    </row>
    <row r="12" ht="26" customHeight="1">
      <c r="A12" s="11" t="inlineStr">
        <is>
          <t>ELEMENTOS BASICOS DE MATEMATICA "A" (Cuatr.)</t>
        </is>
      </c>
      <c r="B12" s="9" t="inlineStr">
        <is>
          <t>NO</t>
        </is>
      </c>
      <c r="C12" s="9" t="inlineStr">
        <is>
          <t>NO</t>
        </is>
      </c>
      <c r="D12" s="12" t="inlineStr">
        <is>
          <t>1° Año</t>
        </is>
      </c>
      <c r="E12" s="9">
        <f>IF(OR(B12="SI",B12="SÍ",B12=TRUE),"REGULAR","PENDIENTE")</f>
        <v/>
      </c>
      <c r="F12" s="9">
        <f>IF(OR(C12="SI",C12="SÍ",C12=TRUE),"APROBADA",IF(OR(B12="SI",B12="SÍ",B12=TRUE),"RINDE FINAL","ADEUDA"))</f>
        <v/>
      </c>
      <c r="G12" s="9">
        <f>IF(OR(C12="SI",C12="SÍ",C12=TRUE),"✅ Aprobada",IF(OR(B12="SI",B12="SÍ",B12=TRUE),"⏳ Cursada (Rinde Final)","⚪ Pendiente"))</f>
        <v/>
      </c>
      <c r="I12" s="15" t="inlineStr">
        <is>
          <t>1. Hacé clic en la celda y elegí 'SI' o 'NO' desde el menú desplegable.</t>
        </is>
      </c>
    </row>
    <row r="13" ht="26" customHeight="1">
      <c r="A13" s="8" t="inlineStr">
        <is>
          <t>ELEMENTOS BASICOS DE MATEMATICA "B" (Cuatr.)</t>
        </is>
      </c>
      <c r="B13" s="9" t="inlineStr">
        <is>
          <t>NO</t>
        </is>
      </c>
      <c r="C13" s="9" t="inlineStr">
        <is>
          <t>NO</t>
        </is>
      </c>
      <c r="D13" s="10" t="inlineStr">
        <is>
          <t>1° Año</t>
        </is>
      </c>
      <c r="E13" s="9">
        <f>IF(OR(B13="SI",B13="SÍ",B13=TRUE),"REGULAR","PENDIENTE")</f>
        <v/>
      </c>
      <c r="F13" s="9">
        <f>IF(OR(C13="SI",C13="SÍ",C13=TRUE),"APROBADA",IF(OR(B13="SI",B13="SÍ",B13=TRUE),"RINDE FINAL","ADEUDA"))</f>
        <v/>
      </c>
      <c r="G13" s="9">
        <f>IF(OR(C13="SI",C13="SÍ",C13=TRUE),"✅ Aprobada",IF(OR(B13="SI",B13="SÍ",B13=TRUE),"⏳ Cursada (Rinde Final)","⚪ Pendiente"))</f>
        <v/>
      </c>
      <c r="I13" s="15" t="inlineStr">
        <is>
          <t>2. Columna B: Marcá 'SI' si tenés la cursada regular aprobada.</t>
        </is>
      </c>
    </row>
    <row r="14" ht="26" customHeight="1">
      <c r="A14" s="11" t="inlineStr">
        <is>
          <t>ELEMENTOS BASICOS DE MATEMATICA "C"</t>
        </is>
      </c>
      <c r="B14" s="9" t="inlineStr">
        <is>
          <t>NO</t>
        </is>
      </c>
      <c r="C14" s="9" t="inlineStr">
        <is>
          <t>NO</t>
        </is>
      </c>
      <c r="D14" s="12" t="inlineStr">
        <is>
          <t>1° Año</t>
        </is>
      </c>
      <c r="E14" s="9">
        <f>IF(OR(B14="SI",B14="SÍ",B14=TRUE),"REGULAR","PENDIENTE")</f>
        <v/>
      </c>
      <c r="F14" s="9">
        <f>IF(OR(C14="SI",C14="SÍ",C14=TRUE),"APROBADA",IF(OR(B14="SI",B14="SÍ",B14=TRUE),"RINDE FINAL","ADEUDA"))</f>
        <v/>
      </c>
      <c r="G14" s="9">
        <f>IF(OR(C14="SI",C14="SÍ",C14=TRUE),"✅ Aprobada",IF(OR(B14="SI",B14="SÍ",B14=TRUE),"⏳ Cursada (Rinde Final)","⚪ Pendiente"))</f>
        <v/>
      </c>
      <c r="I14" s="15" t="inlineStr">
        <is>
          <t>3. Columna C: Marcá 'SI' si aprobaste el final o promocionaste.</t>
        </is>
      </c>
    </row>
    <row r="15" ht="26" customHeight="1">
      <c r="A15" s="8" t="inlineStr">
        <is>
          <t>GEOMETRIA I "A"</t>
        </is>
      </c>
      <c r="B15" s="9" t="inlineStr">
        <is>
          <t>NO</t>
        </is>
      </c>
      <c r="C15" s="9" t="inlineStr">
        <is>
          <t>NO</t>
        </is>
      </c>
      <c r="D15" s="10" t="inlineStr">
        <is>
          <t>1° Año</t>
        </is>
      </c>
      <c r="E15" s="9">
        <f>IF(OR(B15="SI",B15="SÍ",B15=TRUE),"REGULAR","PENDIENTE")</f>
        <v/>
      </c>
      <c r="F15" s="9">
        <f>IF(OR(C15="SI",C15="SÍ",C15=TRUE),"APROBADA",IF(OR(B15="SI",B15="SÍ",B15=TRUE),"RINDE FINAL","ADEUDA"))</f>
        <v/>
      </c>
      <c r="G15" s="9">
        <f>IF(OR(C15="SI",C15="SÍ",C15=TRUE),"✅ Aprobada",IF(OR(B15="SI",B15="SÍ",B15=TRUE),"⏳ Cursada (Rinde Final)","⚪ Pendiente"))</f>
        <v/>
      </c>
      <c r="I15" s="15" t="inlineStr">
        <is>
          <t>4. Las columnas E, F y G se actualizan automáticamente en tiempo real.</t>
        </is>
      </c>
    </row>
    <row r="16" ht="26" customHeight="1">
      <c r="A16" s="11" t="inlineStr">
        <is>
          <t>GEOMETRIA I "B"</t>
        </is>
      </c>
      <c r="B16" s="9" t="inlineStr">
        <is>
          <t>NO</t>
        </is>
      </c>
      <c r="C16" s="9" t="inlineStr">
        <is>
          <t>NO</t>
        </is>
      </c>
      <c r="D16" s="12" t="inlineStr">
        <is>
          <t>1° Año</t>
        </is>
      </c>
      <c r="E16" s="9">
        <f>IF(OR(B16="SI",B16="SÍ",B16=TRUE),"REGULAR","PENDIENTE")</f>
        <v/>
      </c>
      <c r="F16" s="9">
        <f>IF(OR(C16="SI",C16="SÍ",C16=TRUE),"APROBADA",IF(OR(B16="SI",B16="SÍ",B16=TRUE),"RINDE FINAL","ADEUDA"))</f>
        <v/>
      </c>
      <c r="G16" s="9">
        <f>IF(OR(C16="SI",C16="SÍ",C16=TRUE),"✅ Aprobada",IF(OR(B16="SI",B16="SÍ",B16=TRUE),"⏳ Cursada (Rinde Final)","⚪ Pendiente"))</f>
        <v/>
      </c>
      <c r="I16" s="15" t="inlineStr">
        <is>
          <t>5. El panel lateral calcula tu avance y porcentaje de carrera en vivo.</t>
        </is>
      </c>
    </row>
    <row r="17" ht="26" customHeight="1">
      <c r="A17" s="8" t="inlineStr">
        <is>
          <t>GEOMETRIA I "C"</t>
        </is>
      </c>
      <c r="B17" s="9" t="inlineStr">
        <is>
          <t>NO</t>
        </is>
      </c>
      <c r="C17" s="9" t="inlineStr">
        <is>
          <t>NO</t>
        </is>
      </c>
      <c r="D17" s="10" t="inlineStr">
        <is>
          <t>1° Año</t>
        </is>
      </c>
      <c r="E17" s="9">
        <f>IF(OR(B17="SI",B17="SÍ",B17=TRUE),"REGULAR","PENDIENTE")</f>
        <v/>
      </c>
      <c r="F17" s="9">
        <f>IF(OR(C17="SI",C17="SÍ",C17=TRUE),"APROBADA",IF(OR(B17="SI",B17="SÍ",B17=TRUE),"RINDE FINAL","ADEUDA"))</f>
        <v/>
      </c>
      <c r="G17" s="9">
        <f>IF(OR(C17="SI",C17="SÍ",C17=TRUE),"✅ Aprobada",IF(OR(B17="SI",B17="SÍ",B17=TRUE),"⏳ Cursada (Rinde Final)","⚪ Pendiente"))</f>
        <v/>
      </c>
      <c r="I17" s="15" t="inlineStr">
        <is>
          <t>6. Podés subir el archivo a tu Google Drive personal para editarlo online.</t>
        </is>
      </c>
    </row>
    <row r="18" ht="20" customHeight="1">
      <c r="A18" s="11" t="inlineStr">
        <is>
          <t>INTR. A LA MATEMATICA SUPERIOR "A"</t>
        </is>
      </c>
      <c r="B18" s="9" t="inlineStr">
        <is>
          <t>NO</t>
        </is>
      </c>
      <c r="C18" s="9" t="inlineStr">
        <is>
          <t>NO</t>
        </is>
      </c>
      <c r="D18" s="12" t="inlineStr">
        <is>
          <t>1° Año</t>
        </is>
      </c>
      <c r="E18" s="9">
        <f>IF(OR(B18="SI",B18="SÍ",B18=TRUE),"REGULAR","PENDIENTE")</f>
        <v/>
      </c>
      <c r="F18" s="9">
        <f>IF(OR(C18="SI",C18="SÍ",C18=TRUE),"APROBADA",IF(OR(B18="SI",B18="SÍ",B18=TRUE),"RINDE FINAL","ADEUDA"))</f>
        <v/>
      </c>
      <c r="G18" s="9">
        <f>IF(OR(C18="SI",C18="SÍ",C18=TRUE),"✅ Aprobada",IF(OR(B18="SI",B18="SÍ",B18=TRUE),"⏳ Cursada (Rinde Final)","⚪ Pendiente"))</f>
        <v/>
      </c>
    </row>
    <row r="19" ht="20" customHeight="1">
      <c r="A19" s="8" t="inlineStr">
        <is>
          <t>INTR. A LA MATEMATICA SUPERIOR "B"</t>
        </is>
      </c>
      <c r="B19" s="9" t="inlineStr">
        <is>
          <t>NO</t>
        </is>
      </c>
      <c r="C19" s="9" t="inlineStr">
        <is>
          <t>NO</t>
        </is>
      </c>
      <c r="D19" s="10" t="inlineStr">
        <is>
          <t>1° Año</t>
        </is>
      </c>
      <c r="E19" s="9">
        <f>IF(OR(B19="SI",B19="SÍ",B19=TRUE),"REGULAR","PENDIENTE")</f>
        <v/>
      </c>
      <c r="F19" s="9">
        <f>IF(OR(C19="SI",C19="SÍ",C19=TRUE),"APROBADA",IF(OR(B19="SI",B19="SÍ",B19=TRUE),"RINDE FINAL","ADEUDA"))</f>
        <v/>
      </c>
      <c r="G19" s="9">
        <f>IF(OR(C19="SI",C19="SÍ",C19=TRUE),"✅ Aprobada",IF(OR(B19="SI",B19="SÍ",B19=TRUE),"⏳ Cursada (Rinde Final)","⚪ Pendiente"))</f>
        <v/>
      </c>
    </row>
    <row r="20" ht="20" customHeight="1">
      <c r="A20" s="11" t="inlineStr">
        <is>
          <t>INTRODUCCION A LA MATEMATICA SUPERIOR "B"</t>
        </is>
      </c>
      <c r="B20" s="9" t="inlineStr">
        <is>
          <t>NO</t>
        </is>
      </c>
      <c r="C20" s="9" t="inlineStr">
        <is>
          <t>NO</t>
        </is>
      </c>
      <c r="D20" s="12" t="inlineStr">
        <is>
          <t>1° Año</t>
        </is>
      </c>
      <c r="E20" s="9">
        <f>IF(OR(B20="SI",B20="SÍ",B20=TRUE),"REGULAR","PENDIENTE")</f>
        <v/>
      </c>
      <c r="F20" s="9">
        <f>IF(OR(C20="SI",C20="SÍ",C20=TRUE),"APROBADA",IF(OR(B20="SI",B20="SÍ",B20=TRUE),"RINDE FINAL","ADEUDA"))</f>
        <v/>
      </c>
      <c r="G20" s="9">
        <f>IF(OR(C20="SI",C20="SÍ",C20=TRUE),"✅ Aprobada",IF(OR(B20="SI",B20="SÍ",B20=TRUE),"⏳ Cursada (Rinde Final)","⚪ Pendiente"))</f>
        <v/>
      </c>
    </row>
    <row r="21" ht="20" customHeight="1">
      <c r="A21" s="8" t="inlineStr">
        <is>
          <t>INTRODUCCION A LA MATEMATICA SUPERIOR "C"</t>
        </is>
      </c>
      <c r="B21" s="9" t="inlineStr">
        <is>
          <t>NO</t>
        </is>
      </c>
      <c r="C21" s="9" t="inlineStr">
        <is>
          <t>NO</t>
        </is>
      </c>
      <c r="D21" s="10" t="inlineStr">
        <is>
          <t>1° Año</t>
        </is>
      </c>
      <c r="E21" s="9">
        <f>IF(OR(B21="SI",B21="SÍ",B21=TRUE),"REGULAR","PENDIENTE")</f>
        <v/>
      </c>
      <c r="F21" s="9">
        <f>IF(OR(C21="SI",C21="SÍ",C21=TRUE),"APROBADA",IF(OR(B21="SI",B21="SÍ",B21=TRUE),"RINDE FINAL","ADEUDA"))</f>
        <v/>
      </c>
      <c r="G21" s="9">
        <f>IF(OR(C21="SI",C21="SÍ",C21=TRUE),"✅ Aprobada",IF(OR(B21="SI",B21="SÍ",B21=TRUE),"⏳ Cursada (Rinde Final)","⚪ Pendiente"))</f>
        <v/>
      </c>
    </row>
    <row r="22" ht="20" customHeight="1">
      <c r="A22" s="11" t="inlineStr">
        <is>
          <t>INTRODUCCIÓN A LA MATEMATICA SUPERIOR "C"</t>
        </is>
      </c>
      <c r="B22" s="9" t="inlineStr">
        <is>
          <t>NO</t>
        </is>
      </c>
      <c r="C22" s="9" t="inlineStr">
        <is>
          <t>NO</t>
        </is>
      </c>
      <c r="D22" s="12" t="inlineStr">
        <is>
          <t>1° Año</t>
        </is>
      </c>
      <c r="E22" s="9">
        <f>IF(OR(B22="SI",B22="SÍ",B22=TRUE),"REGULAR","PENDIENTE")</f>
        <v/>
      </c>
      <c r="F22" s="9">
        <f>IF(OR(C22="SI",C22="SÍ",C22=TRUE),"APROBADA",IF(OR(B22="SI",B22="SÍ",B22=TRUE),"RINDE FINAL","ADEUDA"))</f>
        <v/>
      </c>
      <c r="G22" s="9">
        <f>IF(OR(C22="SI",C22="SÍ",C22=TRUE),"✅ Aprobada",IF(OR(B22="SI",B22="SÍ",B22=TRUE),"⏳ Cursada (Rinde Final)","⚪ Pendiente"))</f>
        <v/>
      </c>
    </row>
    <row r="23" ht="20" customHeight="1">
      <c r="A23" s="8" t="inlineStr">
        <is>
          <t>LECTURA, ESCRITURA Y ORALIDAD I "A"</t>
        </is>
      </c>
      <c r="B23" s="9" t="inlineStr">
        <is>
          <t>NO</t>
        </is>
      </c>
      <c r="C23" s="9" t="inlineStr">
        <is>
          <t>NO</t>
        </is>
      </c>
      <c r="D23" s="10" t="inlineStr">
        <is>
          <t>1° Año</t>
        </is>
      </c>
      <c r="E23" s="9">
        <f>IF(OR(B23="SI",B23="SÍ",B23=TRUE),"REGULAR","PENDIENTE")</f>
        <v/>
      </c>
      <c r="F23" s="9">
        <f>IF(OR(C23="SI",C23="SÍ",C23=TRUE),"APROBADA",IF(OR(B23="SI",B23="SÍ",B23=TRUE),"RINDE FINAL","ADEUDA"))</f>
        <v/>
      </c>
      <c r="G23" s="9">
        <f>IF(OR(C23="SI",C23="SÍ",C23=TRUE),"✅ Aprobada",IF(OR(B23="SI",B23="SÍ",B23=TRUE),"⏳ Cursada (Rinde Final)","⚪ Pendiente"))</f>
        <v/>
      </c>
    </row>
    <row r="24" ht="20" customHeight="1">
      <c r="A24" s="11" t="inlineStr">
        <is>
          <t>LECTURA, ESCRITURA Y ORALIDAD I "B"</t>
        </is>
      </c>
      <c r="B24" s="9" t="inlineStr">
        <is>
          <t>NO</t>
        </is>
      </c>
      <c r="C24" s="9" t="inlineStr">
        <is>
          <t>NO</t>
        </is>
      </c>
      <c r="D24" s="12" t="inlineStr">
        <is>
          <t>1° Año</t>
        </is>
      </c>
      <c r="E24" s="9">
        <f>IF(OR(B24="SI",B24="SÍ",B24=TRUE),"REGULAR","PENDIENTE")</f>
        <v/>
      </c>
      <c r="F24" s="9">
        <f>IF(OR(C24="SI",C24="SÍ",C24=TRUE),"APROBADA",IF(OR(B24="SI",B24="SÍ",B24=TRUE),"RINDE FINAL","ADEUDA"))</f>
        <v/>
      </c>
      <c r="G24" s="9">
        <f>IF(OR(C24="SI",C24="SÍ",C24=TRUE),"✅ Aprobada",IF(OR(B24="SI",B24="SÍ",B24=TRUE),"⏳ Cursada (Rinde Final)","⚪ Pendiente"))</f>
        <v/>
      </c>
    </row>
    <row r="25" ht="20" customHeight="1">
      <c r="A25" s="8" t="inlineStr">
        <is>
          <t>LECTURA, ESCRITURA Y ORALIDAD I "C"</t>
        </is>
      </c>
      <c r="B25" s="9" t="inlineStr">
        <is>
          <t>NO</t>
        </is>
      </c>
      <c r="C25" s="9" t="inlineStr">
        <is>
          <t>NO</t>
        </is>
      </c>
      <c r="D25" s="10" t="inlineStr">
        <is>
          <t>1° Año</t>
        </is>
      </c>
      <c r="E25" s="9">
        <f>IF(OR(B25="SI",B25="SÍ",B25=TRUE),"REGULAR","PENDIENTE")</f>
        <v/>
      </c>
      <c r="F25" s="9">
        <f>IF(OR(C25="SI",C25="SÍ",C25=TRUE),"APROBADA",IF(OR(B25="SI",B25="SÍ",B25=TRUE),"RINDE FINAL","ADEUDA"))</f>
        <v/>
      </c>
      <c r="G25" s="9">
        <f>IF(OR(C25="SI",C25="SÍ",C25=TRUE),"✅ Aprobada",IF(OR(B25="SI",B25="SÍ",B25=TRUE),"⏳ Cursada (Rinde Final)","⚪ Pendiente"))</f>
        <v/>
      </c>
    </row>
    <row r="26" ht="20" customHeight="1">
      <c r="A26" s="11" t="inlineStr">
        <is>
          <t>PEDAGOGIA "A"</t>
        </is>
      </c>
      <c r="B26" s="9" t="inlineStr">
        <is>
          <t>NO</t>
        </is>
      </c>
      <c r="C26" s="9" t="inlineStr">
        <is>
          <t>NO</t>
        </is>
      </c>
      <c r="D26" s="12" t="inlineStr">
        <is>
          <t>1° Año</t>
        </is>
      </c>
      <c r="E26" s="9">
        <f>IF(OR(B26="SI",B26="SÍ",B26=TRUE),"REGULAR","PENDIENTE")</f>
        <v/>
      </c>
      <c r="F26" s="9">
        <f>IF(OR(C26="SI",C26="SÍ",C26=TRUE),"APROBADA",IF(OR(B26="SI",B26="SÍ",B26=TRUE),"RINDE FINAL","ADEUDA"))</f>
        <v/>
      </c>
      <c r="G26" s="9">
        <f>IF(OR(C26="SI",C26="SÍ",C26=TRUE),"✅ Aprobada",IF(OR(B26="SI",B26="SÍ",B26=TRUE),"⏳ Cursada (Rinde Final)","⚪ Pendiente"))</f>
        <v/>
      </c>
    </row>
    <row r="27" ht="20" customHeight="1">
      <c r="A27" s="8" t="inlineStr">
        <is>
          <t>PEDAGOGIA "B"</t>
        </is>
      </c>
      <c r="B27" s="9" t="inlineStr">
        <is>
          <t>NO</t>
        </is>
      </c>
      <c r="C27" s="9" t="inlineStr">
        <is>
          <t>NO</t>
        </is>
      </c>
      <c r="D27" s="10" t="inlineStr">
        <is>
          <t>1° Año</t>
        </is>
      </c>
      <c r="E27" s="9">
        <f>IF(OR(B27="SI",B27="SÍ",B27=TRUE),"REGULAR","PENDIENTE")</f>
        <v/>
      </c>
      <c r="F27" s="9">
        <f>IF(OR(C27="SI",C27="SÍ",C27=TRUE),"APROBADA",IF(OR(B27="SI",B27="SÍ",B27=TRUE),"RINDE FINAL","ADEUDA"))</f>
        <v/>
      </c>
      <c r="G27" s="9">
        <f>IF(OR(C27="SI",C27="SÍ",C27=TRUE),"✅ Aprobada",IF(OR(B27="SI",B27="SÍ",B27=TRUE),"⏳ Cursada (Rinde Final)","⚪ Pendiente"))</f>
        <v/>
      </c>
    </row>
    <row r="28" ht="20" customHeight="1">
      <c r="A28" s="11" t="inlineStr">
        <is>
          <t>PEDAGOGIA "C"</t>
        </is>
      </c>
      <c r="B28" s="9" t="inlineStr">
        <is>
          <t>NO</t>
        </is>
      </c>
      <c r="C28" s="9" t="inlineStr">
        <is>
          <t>NO</t>
        </is>
      </c>
      <c r="D28" s="12" t="inlineStr">
        <is>
          <t>1° Año</t>
        </is>
      </c>
      <c r="E28" s="9">
        <f>IF(OR(B28="SI",B28="SÍ",B28=TRUE),"REGULAR","PENDIENTE")</f>
        <v/>
      </c>
      <c r="F28" s="9">
        <f>IF(OR(C28="SI",C28="SÍ",C28=TRUE),"APROBADA",IF(OR(B28="SI",B28="SÍ",B28=TRUE),"RINDE FINAL","ADEUDA"))</f>
        <v/>
      </c>
      <c r="G28" s="9">
        <f>IF(OR(C28="SI",C28="SÍ",C28=TRUE),"✅ Aprobada",IF(OR(B28="SI",B28="SÍ",B28=TRUE),"⏳ Cursada (Rinde Final)","⚪ Pendiente"))</f>
        <v/>
      </c>
    </row>
    <row r="29" ht="20" customHeight="1">
      <c r="A29" s="8" t="inlineStr">
        <is>
          <t>PSICOLOGIA EDUCACIONAL "A" (1° Cuat.)</t>
        </is>
      </c>
      <c r="B29" s="9" t="inlineStr">
        <is>
          <t>NO</t>
        </is>
      </c>
      <c r="C29" s="9" t="inlineStr">
        <is>
          <t>NO</t>
        </is>
      </c>
      <c r="D29" s="10" t="inlineStr">
        <is>
          <t>1° Año</t>
        </is>
      </c>
      <c r="E29" s="9">
        <f>IF(OR(B29="SI",B29="SÍ",B29=TRUE),"REGULAR","PENDIENTE")</f>
        <v/>
      </c>
      <c r="F29" s="9">
        <f>IF(OR(C29="SI",C29="SÍ",C29=TRUE),"APROBADA",IF(OR(B29="SI",B29="SÍ",B29=TRUE),"RINDE FINAL","ADEUDA"))</f>
        <v/>
      </c>
      <c r="G29" s="9">
        <f>IF(OR(C29="SI",C29="SÍ",C29=TRUE),"✅ Aprobada",IF(OR(B29="SI",B29="SÍ",B29=TRUE),"⏳ Cursada (Rinde Final)","⚪ Pendiente"))</f>
        <v/>
      </c>
    </row>
    <row r="30" ht="20" customHeight="1">
      <c r="A30" s="11" t="inlineStr">
        <is>
          <t>PSICOLOGIA EDUCACIONAL "B" (1° CUATR.)</t>
        </is>
      </c>
      <c r="B30" s="9" t="inlineStr">
        <is>
          <t>NO</t>
        </is>
      </c>
      <c r="C30" s="9" t="inlineStr">
        <is>
          <t>NO</t>
        </is>
      </c>
      <c r="D30" s="12" t="inlineStr">
        <is>
          <t>1° Año</t>
        </is>
      </c>
      <c r="E30" s="9">
        <f>IF(OR(B30="SI",B30="SÍ",B30=TRUE),"REGULAR","PENDIENTE")</f>
        <v/>
      </c>
      <c r="F30" s="9">
        <f>IF(OR(C30="SI",C30="SÍ",C30=TRUE),"APROBADA",IF(OR(B30="SI",B30="SÍ",B30=TRUE),"RINDE FINAL","ADEUDA"))</f>
        <v/>
      </c>
      <c r="G30" s="9">
        <f>IF(OR(C30="SI",C30="SÍ",C30=TRUE),"✅ Aprobada",IF(OR(B30="SI",B30="SÍ",B30=TRUE),"⏳ Cursada (Rinde Final)","⚪ Pendiente"))</f>
        <v/>
      </c>
    </row>
    <row r="31" ht="20" customHeight="1">
      <c r="A31" s="8" t="inlineStr">
        <is>
          <t>SUJETO DEL APRENDIZAJE "C"</t>
        </is>
      </c>
      <c r="B31" s="9" t="inlineStr">
        <is>
          <t>NO</t>
        </is>
      </c>
      <c r="C31" s="9" t="inlineStr">
        <is>
          <t>NO</t>
        </is>
      </c>
      <c r="D31" s="10" t="inlineStr">
        <is>
          <t>1° Año</t>
        </is>
      </c>
      <c r="E31" s="9">
        <f>IF(OR(B31="SI",B31="SÍ",B31=TRUE),"REGULAR","PENDIENTE")</f>
        <v/>
      </c>
      <c r="F31" s="9">
        <f>IF(OR(C31="SI",C31="SÍ",C31=TRUE),"APROBADA",IF(OR(B31="SI",B31="SÍ",B31=TRUE),"RINDE FINAL","ADEUDA"))</f>
        <v/>
      </c>
      <c r="G31" s="9">
        <f>IF(OR(C31="SI",C31="SÍ",C31=TRUE),"✅ Aprobada",IF(OR(B31="SI",B31="SÍ",B31=TRUE),"⏳ Cursada (Rinde Final)","⚪ Pendiente"))</f>
        <v/>
      </c>
    </row>
    <row r="32" ht="20" customHeight="1">
      <c r="A32" s="11" t="inlineStr">
        <is>
          <t>TRABAJO DE CAMPO I "A"</t>
        </is>
      </c>
      <c r="B32" s="9" t="inlineStr">
        <is>
          <t>NO</t>
        </is>
      </c>
      <c r="C32" s="9" t="inlineStr">
        <is>
          <t>NO</t>
        </is>
      </c>
      <c r="D32" s="12" t="inlineStr">
        <is>
          <t>1° Año</t>
        </is>
      </c>
      <c r="E32" s="9">
        <f>IF(OR(B32="SI",B32="SÍ",B32=TRUE),"REGULAR","PENDIENTE")</f>
        <v/>
      </c>
      <c r="F32" s="9">
        <f>IF(OR(C32="SI",C32="SÍ",C32=TRUE),"APROBADA",IF(OR(B32="SI",B32="SÍ",B32=TRUE),"RINDE FINAL","ADEUDA"))</f>
        <v/>
      </c>
      <c r="G32" s="9">
        <f>IF(OR(C32="SI",C32="SÍ",C32=TRUE),"✅ Aprobada",IF(OR(B32="SI",B32="SÍ",B32=TRUE),"⏳ Cursada (Rinde Final)","⚪ Pendiente"))</f>
        <v/>
      </c>
    </row>
    <row r="33" ht="20" customHeight="1">
      <c r="A33" s="8" t="inlineStr">
        <is>
          <t>TRABAJO DE CAMPO I "B" (CUATRIMESTRAL)</t>
        </is>
      </c>
      <c r="B33" s="9" t="inlineStr">
        <is>
          <t>NO</t>
        </is>
      </c>
      <c r="C33" s="9" t="inlineStr">
        <is>
          <t>NO</t>
        </is>
      </c>
      <c r="D33" s="10" t="inlineStr">
        <is>
          <t>1° Año</t>
        </is>
      </c>
      <c r="E33" s="9">
        <f>IF(OR(B33="SI",B33="SÍ",B33=TRUE),"REGULAR","PENDIENTE")</f>
        <v/>
      </c>
      <c r="F33" s="9">
        <f>IF(OR(C33="SI",C33="SÍ",C33=TRUE),"APROBADA",IF(OR(B33="SI",B33="SÍ",B33=TRUE),"RINDE FINAL","ADEUDA"))</f>
        <v/>
      </c>
      <c r="G33" s="9">
        <f>IF(OR(C33="SI",C33="SÍ",C33=TRUE),"✅ Aprobada",IF(OR(B33="SI",B33="SÍ",B33=TRUE),"⏳ Cursada (Rinde Final)","⚪ Pendiente"))</f>
        <v/>
      </c>
    </row>
    <row r="34" ht="20" customHeight="1">
      <c r="A34" s="11" t="inlineStr">
        <is>
          <t>TRABAJO DE CAMPO I "C" (CUATRIMESTRAL)</t>
        </is>
      </c>
      <c r="B34" s="9" t="inlineStr">
        <is>
          <t>NO</t>
        </is>
      </c>
      <c r="C34" s="9" t="inlineStr">
        <is>
          <t>NO</t>
        </is>
      </c>
      <c r="D34" s="12" t="inlineStr">
        <is>
          <t>1° Año</t>
        </is>
      </c>
      <c r="E34" s="9">
        <f>IF(OR(B34="SI",B34="SÍ",B34=TRUE),"REGULAR","PENDIENTE")</f>
        <v/>
      </c>
      <c r="F34" s="9">
        <f>IF(OR(C34="SI",C34="SÍ",C34=TRUE),"APROBADA",IF(OR(B34="SI",B34="SÍ",B34=TRUE),"RINDE FINAL","ADEUDA"))</f>
        <v/>
      </c>
      <c r="G34" s="9">
        <f>IF(OR(C34="SI",C34="SÍ",C34=TRUE),"✅ Aprobada",IF(OR(B34="SI",B34="SÍ",B34=TRUE),"⏳ Cursada (Rinde Final)","⚪ Pendiente"))</f>
        <v/>
      </c>
    </row>
    <row r="35" ht="24" customHeight="1">
      <c r="A35" s="5" t="inlineStr">
        <is>
          <t>📌 2° AÑO</t>
        </is>
      </c>
    </row>
    <row r="36" ht="20" customHeight="1">
      <c r="A36" s="11" t="inlineStr">
        <is>
          <t>ALGEBRA II "A"</t>
        </is>
      </c>
      <c r="B36" s="9" t="inlineStr">
        <is>
          <t>NO</t>
        </is>
      </c>
      <c r="C36" s="9" t="inlineStr">
        <is>
          <t>NO</t>
        </is>
      </c>
      <c r="D36" s="12" t="inlineStr">
        <is>
          <t>2° Año</t>
        </is>
      </c>
      <c r="E36" s="9">
        <f>IF(OR(B36="SI",B36="SÍ",B36=TRUE),"REGULAR","PENDIENTE")</f>
        <v/>
      </c>
      <c r="F36" s="9">
        <f>IF(OR(C36="SI",C36="SÍ",C36=TRUE),"APROBADA",IF(OR(B36="SI",B36="SÍ",B36=TRUE),"RINDE FINAL","ADEUDA"))</f>
        <v/>
      </c>
      <c r="G36" s="9">
        <f>IF(OR(C36="SI",C36="SÍ",C36=TRUE),"✅ Aprobada",IF(OR(B36="SI",B36="SÍ",B36=TRUE),"⏳ Cursada (Rinde Final)","⚪ Pendiente"))</f>
        <v/>
      </c>
    </row>
    <row r="37" ht="20" customHeight="1">
      <c r="A37" s="8" t="inlineStr">
        <is>
          <t>ALGEBRA II "B"</t>
        </is>
      </c>
      <c r="B37" s="9" t="inlineStr">
        <is>
          <t>NO</t>
        </is>
      </c>
      <c r="C37" s="9" t="inlineStr">
        <is>
          <t>NO</t>
        </is>
      </c>
      <c r="D37" s="10" t="inlineStr">
        <is>
          <t>2° Año</t>
        </is>
      </c>
      <c r="E37" s="9">
        <f>IF(OR(B37="SI",B37="SÍ",B37=TRUE),"REGULAR","PENDIENTE")</f>
        <v/>
      </c>
      <c r="F37" s="9">
        <f>IF(OR(C37="SI",C37="SÍ",C37=TRUE),"APROBADA",IF(OR(B37="SI",B37="SÍ",B37=TRUE),"RINDE FINAL","ADEUDA"))</f>
        <v/>
      </c>
      <c r="G37" s="9">
        <f>IF(OR(C37="SI",C37="SÍ",C37=TRUE),"✅ Aprobada",IF(OR(B37="SI",B37="SÍ",B37=TRUE),"⏳ Cursada (Rinde Final)","⚪ Pendiente"))</f>
        <v/>
      </c>
    </row>
    <row r="38" ht="20" customHeight="1">
      <c r="A38" s="11" t="inlineStr">
        <is>
          <t>ANALISIS MATEMATICO II "A"</t>
        </is>
      </c>
      <c r="B38" s="9" t="inlineStr">
        <is>
          <t>NO</t>
        </is>
      </c>
      <c r="C38" s="9" t="inlineStr">
        <is>
          <t>NO</t>
        </is>
      </c>
      <c r="D38" s="12" t="inlineStr">
        <is>
          <t>2° Año</t>
        </is>
      </c>
      <c r="E38" s="9">
        <f>IF(OR(B38="SI",B38="SÍ",B38=TRUE),"REGULAR","PENDIENTE")</f>
        <v/>
      </c>
      <c r="F38" s="9">
        <f>IF(OR(C38="SI",C38="SÍ",C38=TRUE),"APROBADA",IF(OR(B38="SI",B38="SÍ",B38=TRUE),"RINDE FINAL","ADEUDA"))</f>
        <v/>
      </c>
      <c r="G38" s="9">
        <f>IF(OR(C38="SI",C38="SÍ",C38=TRUE),"✅ Aprobada",IF(OR(B38="SI",B38="SÍ",B38=TRUE),"⏳ Cursada (Rinde Final)","⚪ Pendiente"))</f>
        <v/>
      </c>
    </row>
    <row r="39" ht="20" customHeight="1">
      <c r="A39" s="8" t="inlineStr">
        <is>
          <t>ANALISIS MATEMATICO II "B"</t>
        </is>
      </c>
      <c r="B39" s="9" t="inlineStr">
        <is>
          <t>NO</t>
        </is>
      </c>
      <c r="C39" s="9" t="inlineStr">
        <is>
          <t>NO</t>
        </is>
      </c>
      <c r="D39" s="10" t="inlineStr">
        <is>
          <t>2° Año</t>
        </is>
      </c>
      <c r="E39" s="9">
        <f>IF(OR(B39="SI",B39="SÍ",B39=TRUE),"REGULAR","PENDIENTE")</f>
        <v/>
      </c>
      <c r="F39" s="9">
        <f>IF(OR(C39="SI",C39="SÍ",C39=TRUE),"APROBADA",IF(OR(B39="SI",B39="SÍ",B39=TRUE),"RINDE FINAL","ADEUDA"))</f>
        <v/>
      </c>
      <c r="G39" s="9">
        <f>IF(OR(C39="SI",C39="SÍ",C39=TRUE),"✅ Aprobada",IF(OR(B39="SI",B39="SÍ",B39=TRUE),"⏳ Cursada (Rinde Final)","⚪ Pendiente"))</f>
        <v/>
      </c>
    </row>
    <row r="40" ht="20" customHeight="1">
      <c r="A40" s="11" t="inlineStr">
        <is>
          <t>DIDACTICA GENERAL "A"</t>
        </is>
      </c>
      <c r="B40" s="9" t="inlineStr">
        <is>
          <t>NO</t>
        </is>
      </c>
      <c r="C40" s="9" t="inlineStr">
        <is>
          <t>NO</t>
        </is>
      </c>
      <c r="D40" s="12" t="inlineStr">
        <is>
          <t>2° Año</t>
        </is>
      </c>
      <c r="E40" s="9">
        <f>IF(OR(B40="SI",B40="SÍ",B40=TRUE),"REGULAR","PENDIENTE")</f>
        <v/>
      </c>
      <c r="F40" s="9">
        <f>IF(OR(C40="SI",C40="SÍ",C40=TRUE),"APROBADA",IF(OR(B40="SI",B40="SÍ",B40=TRUE),"RINDE FINAL","ADEUDA"))</f>
        <v/>
      </c>
      <c r="G40" s="9">
        <f>IF(OR(C40="SI",C40="SÍ",C40=TRUE),"✅ Aprobada",IF(OR(B40="SI",B40="SÍ",B40=TRUE),"⏳ Cursada (Rinde Final)","⚪ Pendiente"))</f>
        <v/>
      </c>
    </row>
    <row r="41" ht="20" customHeight="1">
      <c r="A41" s="8" t="inlineStr">
        <is>
          <t>DIDACTICA GENERAL "B"</t>
        </is>
      </c>
      <c r="B41" s="9" t="inlineStr">
        <is>
          <t>NO</t>
        </is>
      </c>
      <c r="C41" s="9" t="inlineStr">
        <is>
          <t>NO</t>
        </is>
      </c>
      <c r="D41" s="10" t="inlineStr">
        <is>
          <t>2° Año</t>
        </is>
      </c>
      <c r="E41" s="9">
        <f>IF(OR(B41="SI",B41="SÍ",B41=TRUE),"REGULAR","PENDIENTE")</f>
        <v/>
      </c>
      <c r="F41" s="9">
        <f>IF(OR(C41="SI",C41="SÍ",C41=TRUE),"APROBADA",IF(OR(B41="SI",B41="SÍ",B41=TRUE),"RINDE FINAL","ADEUDA"))</f>
        <v/>
      </c>
      <c r="G41" s="9">
        <f>IF(OR(C41="SI",C41="SÍ",C41=TRUE),"✅ Aprobada",IF(OR(B41="SI",B41="SÍ",B41=TRUE),"⏳ Cursada (Rinde Final)","⚪ Pendiente"))</f>
        <v/>
      </c>
    </row>
    <row r="42" ht="20" customHeight="1">
      <c r="A42" s="11" t="inlineStr">
        <is>
          <t>FILOSOFIA "A"</t>
        </is>
      </c>
      <c r="B42" s="9" t="inlineStr">
        <is>
          <t>NO</t>
        </is>
      </c>
      <c r="C42" s="9" t="inlineStr">
        <is>
          <t>NO</t>
        </is>
      </c>
      <c r="D42" s="12" t="inlineStr">
        <is>
          <t>2° Año</t>
        </is>
      </c>
      <c r="E42" s="9">
        <f>IF(OR(B42="SI",B42="SÍ",B42=TRUE),"REGULAR","PENDIENTE")</f>
        <v/>
      </c>
      <c r="F42" s="9">
        <f>IF(OR(C42="SI",C42="SÍ",C42=TRUE),"APROBADA",IF(OR(B42="SI",B42="SÍ",B42=TRUE),"RINDE FINAL","ADEUDA"))</f>
        <v/>
      </c>
      <c r="G42" s="9">
        <f>IF(OR(C42="SI",C42="SÍ",C42=TRUE),"✅ Aprobada",IF(OR(B42="SI",B42="SÍ",B42=TRUE),"⏳ Cursada (Rinde Final)","⚪ Pendiente"))</f>
        <v/>
      </c>
    </row>
    <row r="43" ht="20" customHeight="1">
      <c r="A43" s="8" t="inlineStr">
        <is>
          <t>FILOSOFIA "B"</t>
        </is>
      </c>
      <c r="B43" s="9" t="inlineStr">
        <is>
          <t>NO</t>
        </is>
      </c>
      <c r="C43" s="9" t="inlineStr">
        <is>
          <t>NO</t>
        </is>
      </c>
      <c r="D43" s="10" t="inlineStr">
        <is>
          <t>2° Año</t>
        </is>
      </c>
      <c r="E43" s="9">
        <f>IF(OR(B43="SI",B43="SÍ",B43=TRUE),"REGULAR","PENDIENTE")</f>
        <v/>
      </c>
      <c r="F43" s="9">
        <f>IF(OR(C43="SI",C43="SÍ",C43=TRUE),"APROBADA",IF(OR(B43="SI",B43="SÍ",B43=TRUE),"RINDE FINAL","ADEUDA"))</f>
        <v/>
      </c>
      <c r="G43" s="9">
        <f>IF(OR(C43="SI",C43="SÍ",C43=TRUE),"✅ Aprobada",IF(OR(B43="SI",B43="SÍ",B43=TRUE),"⏳ Cursada (Rinde Final)","⚪ Pendiente"))</f>
        <v/>
      </c>
    </row>
    <row r="44" ht="20" customHeight="1">
      <c r="A44" s="11" t="inlineStr">
        <is>
          <t>FISICA "A"</t>
        </is>
      </c>
      <c r="B44" s="9" t="inlineStr">
        <is>
          <t>NO</t>
        </is>
      </c>
      <c r="C44" s="9" t="inlineStr">
        <is>
          <t>NO</t>
        </is>
      </c>
      <c r="D44" s="12" t="inlineStr">
        <is>
          <t>2° Año</t>
        </is>
      </c>
      <c r="E44" s="9">
        <f>IF(OR(B44="SI",B44="SÍ",B44=TRUE),"REGULAR","PENDIENTE")</f>
        <v/>
      </c>
      <c r="F44" s="9">
        <f>IF(OR(C44="SI",C44="SÍ",C44=TRUE),"APROBADA",IF(OR(B44="SI",B44="SÍ",B44=TRUE),"RINDE FINAL","ADEUDA"))</f>
        <v/>
      </c>
      <c r="G44" s="9">
        <f>IF(OR(C44="SI",C44="SÍ",C44=TRUE),"✅ Aprobada",IF(OR(B44="SI",B44="SÍ",B44=TRUE),"⏳ Cursada (Rinde Final)","⚪ Pendiente"))</f>
        <v/>
      </c>
    </row>
    <row r="45" ht="20" customHeight="1">
      <c r="A45" s="8" t="inlineStr">
        <is>
          <t>FISICA "B"</t>
        </is>
      </c>
      <c r="B45" s="9" t="inlineStr">
        <is>
          <t>NO</t>
        </is>
      </c>
      <c r="C45" s="9" t="inlineStr">
        <is>
          <t>NO</t>
        </is>
      </c>
      <c r="D45" s="10" t="inlineStr">
        <is>
          <t>2° Año</t>
        </is>
      </c>
      <c r="E45" s="9">
        <f>IF(OR(B45="SI",B45="SÍ",B45=TRUE),"REGULAR","PENDIENTE")</f>
        <v/>
      </c>
      <c r="F45" s="9">
        <f>IF(OR(C45="SI",C45="SÍ",C45=TRUE),"APROBADA",IF(OR(B45="SI",B45="SÍ",B45=TRUE),"RINDE FINAL","ADEUDA"))</f>
        <v/>
      </c>
      <c r="G45" s="9">
        <f>IF(OR(C45="SI",C45="SÍ",C45=TRUE),"✅ Aprobada",IF(OR(B45="SI",B45="SÍ",B45=TRUE),"⏳ Cursada (Rinde Final)","⚪ Pendiente"))</f>
        <v/>
      </c>
    </row>
    <row r="46" ht="20" customHeight="1">
      <c r="A46" s="11" t="inlineStr">
        <is>
          <t>GEOMETRIA II "A"</t>
        </is>
      </c>
      <c r="B46" s="9" t="inlineStr">
        <is>
          <t>NO</t>
        </is>
      </c>
      <c r="C46" s="9" t="inlineStr">
        <is>
          <t>NO</t>
        </is>
      </c>
      <c r="D46" s="12" t="inlineStr">
        <is>
          <t>2° Año</t>
        </is>
      </c>
      <c r="E46" s="9">
        <f>IF(OR(B46="SI",B46="SÍ",B46=TRUE),"REGULAR","PENDIENTE")</f>
        <v/>
      </c>
      <c r="F46" s="9">
        <f>IF(OR(C46="SI",C46="SÍ",C46=TRUE),"APROBADA",IF(OR(B46="SI",B46="SÍ",B46=TRUE),"RINDE FINAL","ADEUDA"))</f>
        <v/>
      </c>
      <c r="G46" s="9">
        <f>IF(OR(C46="SI",C46="SÍ",C46=TRUE),"✅ Aprobada",IF(OR(B46="SI",B46="SÍ",B46=TRUE),"⏳ Cursada (Rinde Final)","⚪ Pendiente"))</f>
        <v/>
      </c>
    </row>
    <row r="47" ht="20" customHeight="1">
      <c r="A47" s="8" t="inlineStr">
        <is>
          <t>GEOMETRIA II "B"</t>
        </is>
      </c>
      <c r="B47" s="9" t="inlineStr">
        <is>
          <t>NO</t>
        </is>
      </c>
      <c r="C47" s="9" t="inlineStr">
        <is>
          <t>NO</t>
        </is>
      </c>
      <c r="D47" s="10" t="inlineStr">
        <is>
          <t>2° Año</t>
        </is>
      </c>
      <c r="E47" s="9">
        <f>IF(OR(B47="SI",B47="SÍ",B47=TRUE),"REGULAR","PENDIENTE")</f>
        <v/>
      </c>
      <c r="F47" s="9">
        <f>IF(OR(C47="SI",C47="SÍ",C47=TRUE),"APROBADA",IF(OR(B47="SI",B47="SÍ",B47=TRUE),"RINDE FINAL","ADEUDA"))</f>
        <v/>
      </c>
      <c r="G47" s="9">
        <f>IF(OR(C47="SI",C47="SÍ",C47=TRUE),"✅ Aprobada",IF(OR(B47="SI",B47="SÍ",B47=TRUE),"⏳ Cursada (Rinde Final)","⚪ Pendiente"))</f>
        <v/>
      </c>
    </row>
    <row r="48" ht="20" customHeight="1">
      <c r="A48" s="11" t="inlineStr">
        <is>
          <t>NUEVAS TECNOLOGIAS "A"</t>
        </is>
      </c>
      <c r="B48" s="9" t="inlineStr">
        <is>
          <t>NO</t>
        </is>
      </c>
      <c r="C48" s="9" t="inlineStr">
        <is>
          <t>NO</t>
        </is>
      </c>
      <c r="D48" s="12" t="inlineStr">
        <is>
          <t>2° Año</t>
        </is>
      </c>
      <c r="E48" s="9">
        <f>IF(OR(B48="SI",B48="SÍ",B48=TRUE),"REGULAR","PENDIENTE")</f>
        <v/>
      </c>
      <c r="F48" s="9">
        <f>IF(OR(C48="SI",C48="SÍ",C48=TRUE),"APROBADA",IF(OR(B48="SI",B48="SÍ",B48=TRUE),"RINDE FINAL","ADEUDA"))</f>
        <v/>
      </c>
      <c r="G48" s="9">
        <f>IF(OR(C48="SI",C48="SÍ",C48=TRUE),"✅ Aprobada",IF(OR(B48="SI",B48="SÍ",B48=TRUE),"⏳ Cursada (Rinde Final)","⚪ Pendiente"))</f>
        <v/>
      </c>
    </row>
    <row r="49" ht="20" customHeight="1">
      <c r="A49" s="8" t="inlineStr">
        <is>
          <t>NUEVAS TECNOLOGÍAS "B"</t>
        </is>
      </c>
      <c r="B49" s="9" t="inlineStr">
        <is>
          <t>NO</t>
        </is>
      </c>
      <c r="C49" s="9" t="inlineStr">
        <is>
          <t>NO</t>
        </is>
      </c>
      <c r="D49" s="10" t="inlineStr">
        <is>
          <t>2° Año</t>
        </is>
      </c>
      <c r="E49" s="9">
        <f>IF(OR(B49="SI",B49="SÍ",B49=TRUE),"REGULAR","PENDIENTE")</f>
        <v/>
      </c>
      <c r="F49" s="9">
        <f>IF(OR(C49="SI",C49="SÍ",C49=TRUE),"APROBADA",IF(OR(B49="SI",B49="SÍ",B49=TRUE),"RINDE FINAL","ADEUDA"))</f>
        <v/>
      </c>
      <c r="G49" s="9">
        <f>IF(OR(C49="SI",C49="SÍ",C49=TRUE),"✅ Aprobada",IF(OR(B49="SI",B49="SÍ",B49=TRUE),"⏳ Cursada (Rinde Final)","⚪ Pendiente"))</f>
        <v/>
      </c>
    </row>
    <row r="50" ht="20" customHeight="1">
      <c r="A50" s="11" t="inlineStr">
        <is>
          <t>TRABAJO DE CAMPO II "A"</t>
        </is>
      </c>
      <c r="B50" s="9" t="inlineStr">
        <is>
          <t>NO</t>
        </is>
      </c>
      <c r="C50" s="9" t="inlineStr">
        <is>
          <t>NO</t>
        </is>
      </c>
      <c r="D50" s="12" t="inlineStr">
        <is>
          <t>2° Año</t>
        </is>
      </c>
      <c r="E50" s="9">
        <f>IF(OR(B50="SI",B50="SÍ",B50=TRUE),"REGULAR","PENDIENTE")</f>
        <v/>
      </c>
      <c r="F50" s="9">
        <f>IF(OR(C50="SI",C50="SÍ",C50=TRUE),"APROBADA",IF(OR(B50="SI",B50="SÍ",B50=TRUE),"RINDE FINAL","ADEUDA"))</f>
        <v/>
      </c>
      <c r="G50" s="9">
        <f>IF(OR(C50="SI",C50="SÍ",C50=TRUE),"✅ Aprobada",IF(OR(B50="SI",B50="SÍ",B50=TRUE),"⏳ Cursada (Rinde Final)","⚪ Pendiente"))</f>
        <v/>
      </c>
    </row>
    <row r="51" ht="20" customHeight="1">
      <c r="A51" s="8" t="inlineStr">
        <is>
          <t>TRABAJO DE CAMPO II "B"</t>
        </is>
      </c>
      <c r="B51" s="9" t="inlineStr">
        <is>
          <t>NO</t>
        </is>
      </c>
      <c r="C51" s="9" t="inlineStr">
        <is>
          <t>NO</t>
        </is>
      </c>
      <c r="D51" s="10" t="inlineStr">
        <is>
          <t>2° Año</t>
        </is>
      </c>
      <c r="E51" s="9">
        <f>IF(OR(B51="SI",B51="SÍ",B51=TRUE),"REGULAR","PENDIENTE")</f>
        <v/>
      </c>
      <c r="F51" s="9">
        <f>IF(OR(C51="SI",C51="SÍ",C51=TRUE),"APROBADA",IF(OR(B51="SI",B51="SÍ",B51=TRUE),"RINDE FINAL","ADEUDA"))</f>
        <v/>
      </c>
      <c r="G51" s="9">
        <f>IF(OR(C51="SI",C51="SÍ",C51=TRUE),"✅ Aprobada",IF(OR(B51="SI",B51="SÍ",B51=TRUE),"⏳ Cursada (Rinde Final)","⚪ Pendiente"))</f>
        <v/>
      </c>
    </row>
    <row r="52" ht="24" customHeight="1">
      <c r="A52" s="5" t="inlineStr">
        <is>
          <t>📌 3° AÑO</t>
        </is>
      </c>
    </row>
    <row r="53" ht="20" customHeight="1">
      <c r="A53" s="8" t="inlineStr">
        <is>
          <t>ALGEBRA III "A"</t>
        </is>
      </c>
      <c r="B53" s="9" t="inlineStr">
        <is>
          <t>NO</t>
        </is>
      </c>
      <c r="C53" s="9" t="inlineStr">
        <is>
          <t>NO</t>
        </is>
      </c>
      <c r="D53" s="10" t="inlineStr">
        <is>
          <t>3° Año</t>
        </is>
      </c>
      <c r="E53" s="9">
        <f>IF(OR(B53="SI",B53="SÍ",B53=TRUE),"REGULAR","PENDIENTE")</f>
        <v/>
      </c>
      <c r="F53" s="9">
        <f>IF(OR(C53="SI",C53="SÍ",C53=TRUE),"APROBADA",IF(OR(B53="SI",B53="SÍ",B53=TRUE),"RINDE FINAL","ADEUDA"))</f>
        <v/>
      </c>
      <c r="G53" s="9">
        <f>IF(OR(C53="SI",C53="SÍ",C53=TRUE),"✅ Aprobada",IF(OR(B53="SI",B53="SÍ",B53=TRUE),"⏳ Cursada (Rinde Final)","⚪ Pendiente"))</f>
        <v/>
      </c>
    </row>
    <row r="54" ht="20" customHeight="1">
      <c r="A54" s="11" t="inlineStr">
        <is>
          <t>ALGEBRA III "B"</t>
        </is>
      </c>
      <c r="B54" s="9" t="inlineStr">
        <is>
          <t>NO</t>
        </is>
      </c>
      <c r="C54" s="9" t="inlineStr">
        <is>
          <t>NO</t>
        </is>
      </c>
      <c r="D54" s="12" t="inlineStr">
        <is>
          <t>3° Año</t>
        </is>
      </c>
      <c r="E54" s="9">
        <f>IF(OR(B54="SI",B54="SÍ",B54=TRUE),"REGULAR","PENDIENTE")</f>
        <v/>
      </c>
      <c r="F54" s="9">
        <f>IF(OR(C54="SI",C54="SÍ",C54=TRUE),"APROBADA",IF(OR(B54="SI",B54="SÍ",B54=TRUE),"RINDE FINAL","ADEUDA"))</f>
        <v/>
      </c>
      <c r="G54" s="9">
        <f>IF(OR(C54="SI",C54="SÍ",C54=TRUE),"✅ Aprobada",IF(OR(B54="SI",B54="SÍ",B54=TRUE),"⏳ Cursada (Rinde Final)","⚪ Pendiente"))</f>
        <v/>
      </c>
    </row>
    <row r="55" ht="20" customHeight="1">
      <c r="A55" s="8" t="inlineStr">
        <is>
          <t>DD HH, SOCIEDAD Y ESTADO "B"</t>
        </is>
      </c>
      <c r="B55" s="9" t="inlineStr">
        <is>
          <t>NO</t>
        </is>
      </c>
      <c r="C55" s="9" t="inlineStr">
        <is>
          <t>NO</t>
        </is>
      </c>
      <c r="D55" s="10" t="inlineStr">
        <is>
          <t>3° Año</t>
        </is>
      </c>
      <c r="E55" s="9">
        <f>IF(OR(B55="SI",B55="SÍ",B55=TRUE),"REGULAR","PENDIENTE")</f>
        <v/>
      </c>
      <c r="F55" s="9">
        <f>IF(OR(C55="SI",C55="SÍ",C55=TRUE),"APROBADA",IF(OR(B55="SI",B55="SÍ",B55=TRUE),"RINDE FINAL","ADEUDA"))</f>
        <v/>
      </c>
      <c r="G55" s="9">
        <f>IF(OR(C55="SI",C55="SÍ",C55=TRUE),"✅ Aprobada",IF(OR(B55="SI",B55="SÍ",B55=TRUE),"⏳ Cursada (Rinde Final)","⚪ Pendiente"))</f>
        <v/>
      </c>
    </row>
    <row r="56" ht="20" customHeight="1">
      <c r="A56" s="11" t="inlineStr">
        <is>
          <t>DDHH, SOCIEDAD Y ESTADO "A"</t>
        </is>
      </c>
      <c r="B56" s="9" t="inlineStr">
        <is>
          <t>NO</t>
        </is>
      </c>
      <c r="C56" s="9" t="inlineStr">
        <is>
          <t>NO</t>
        </is>
      </c>
      <c r="D56" s="12" t="inlineStr">
        <is>
          <t>3° Año</t>
        </is>
      </c>
      <c r="E56" s="9">
        <f>IF(OR(B56="SI",B56="SÍ",B56=TRUE),"REGULAR","PENDIENTE")</f>
        <v/>
      </c>
      <c r="F56" s="9">
        <f>IF(OR(C56="SI",C56="SÍ",C56=TRUE),"APROBADA",IF(OR(B56="SI",B56="SÍ",B56=TRUE),"RINDE FINAL","ADEUDA"))</f>
        <v/>
      </c>
      <c r="G56" s="9">
        <f>IF(OR(C56="SI",C56="SÍ",C56=TRUE),"✅ Aprobada",IF(OR(B56="SI",B56="SÍ",B56=TRUE),"⏳ Cursada (Rinde Final)","⚪ Pendiente"))</f>
        <v/>
      </c>
    </row>
    <row r="57" ht="20" customHeight="1">
      <c r="A57" s="8" t="inlineStr">
        <is>
          <t>DIDACTICA DE LA MATEMATICA "A"</t>
        </is>
      </c>
      <c r="B57" s="9" t="inlineStr">
        <is>
          <t>NO</t>
        </is>
      </c>
      <c r="C57" s="9" t="inlineStr">
        <is>
          <t>NO</t>
        </is>
      </c>
      <c r="D57" s="10" t="inlineStr">
        <is>
          <t>3° Año</t>
        </is>
      </c>
      <c r="E57" s="9">
        <f>IF(OR(B57="SI",B57="SÍ",B57=TRUE),"REGULAR","PENDIENTE")</f>
        <v/>
      </c>
      <c r="F57" s="9">
        <f>IF(OR(C57="SI",C57="SÍ",C57=TRUE),"APROBADA",IF(OR(B57="SI",B57="SÍ",B57=TRUE),"RINDE FINAL","ADEUDA"))</f>
        <v/>
      </c>
      <c r="G57" s="9">
        <f>IF(OR(C57="SI",C57="SÍ",C57=TRUE),"✅ Aprobada",IF(OR(B57="SI",B57="SÍ",B57=TRUE),"⏳ Cursada (Rinde Final)","⚪ Pendiente"))</f>
        <v/>
      </c>
    </row>
    <row r="58" ht="20" customHeight="1">
      <c r="A58" s="11" t="inlineStr">
        <is>
          <t>DIDACTICA DE LA MATEMATICA "B"</t>
        </is>
      </c>
      <c r="B58" s="9" t="inlineStr">
        <is>
          <t>NO</t>
        </is>
      </c>
      <c r="C58" s="9" t="inlineStr">
        <is>
          <t>NO</t>
        </is>
      </c>
      <c r="D58" s="12" t="inlineStr">
        <is>
          <t>3° Año</t>
        </is>
      </c>
      <c r="E58" s="9">
        <f>IF(OR(B58="SI",B58="SÍ",B58=TRUE),"REGULAR","PENDIENTE")</f>
        <v/>
      </c>
      <c r="F58" s="9">
        <f>IF(OR(C58="SI",C58="SÍ",C58=TRUE),"APROBADA",IF(OR(B58="SI",B58="SÍ",B58=TRUE),"RINDE FINAL","ADEUDA"))</f>
        <v/>
      </c>
      <c r="G58" s="9">
        <f>IF(OR(C58="SI",C58="SÍ",C58=TRUE),"✅ Aprobada",IF(OR(B58="SI",B58="SÍ",B58=TRUE),"⏳ Cursada (Rinde Final)","⚪ Pendiente"))</f>
        <v/>
      </c>
    </row>
    <row r="59" ht="20" customHeight="1">
      <c r="A59" s="8" t="inlineStr">
        <is>
          <t>HISTORIA DE LA EDUCACION ARGENTINA "A"</t>
        </is>
      </c>
      <c r="B59" s="9" t="inlineStr">
        <is>
          <t>NO</t>
        </is>
      </c>
      <c r="C59" s="9" t="inlineStr">
        <is>
          <t>NO</t>
        </is>
      </c>
      <c r="D59" s="10" t="inlineStr">
        <is>
          <t>3° Año</t>
        </is>
      </c>
      <c r="E59" s="9">
        <f>IF(OR(B59="SI",B59="SÍ",B59=TRUE),"REGULAR","PENDIENTE")</f>
        <v/>
      </c>
      <c r="F59" s="9">
        <f>IF(OR(C59="SI",C59="SÍ",C59=TRUE),"APROBADA",IF(OR(B59="SI",B59="SÍ",B59=TRUE),"RINDE FINAL","ADEUDA"))</f>
        <v/>
      </c>
      <c r="G59" s="9">
        <f>IF(OR(C59="SI",C59="SÍ",C59=TRUE),"✅ Aprobada",IF(OR(B59="SI",B59="SÍ",B59=TRUE),"⏳ Cursada (Rinde Final)","⚪ Pendiente"))</f>
        <v/>
      </c>
    </row>
    <row r="60" ht="20" customHeight="1">
      <c r="A60" s="11" t="inlineStr">
        <is>
          <t>HISTORIA DE LA EDUCACION ARGENTINA "B"</t>
        </is>
      </c>
      <c r="B60" s="9" t="inlineStr">
        <is>
          <t>NO</t>
        </is>
      </c>
      <c r="C60" s="9" t="inlineStr">
        <is>
          <t>NO</t>
        </is>
      </c>
      <c r="D60" s="12" t="inlineStr">
        <is>
          <t>3° Año</t>
        </is>
      </c>
      <c r="E60" s="9">
        <f>IF(OR(B60="SI",B60="SÍ",B60=TRUE),"REGULAR","PENDIENTE")</f>
        <v/>
      </c>
      <c r="F60" s="9">
        <f>IF(OR(C60="SI",C60="SÍ",C60=TRUE),"APROBADA",IF(OR(B60="SI",B60="SÍ",B60=TRUE),"RINDE FINAL","ADEUDA"))</f>
        <v/>
      </c>
      <c r="G60" s="9">
        <f>IF(OR(C60="SI",C60="SÍ",C60=TRUE),"✅ Aprobada",IF(OR(B60="SI",B60="SÍ",B60=TRUE),"⏳ Cursada (Rinde Final)","⚪ Pendiente"))</f>
        <v/>
      </c>
    </row>
    <row r="61" ht="20" customHeight="1">
      <c r="A61" s="8" t="inlineStr">
        <is>
          <t>HISTORIA DE LA MATEMATICA "A"</t>
        </is>
      </c>
      <c r="B61" s="9" t="inlineStr">
        <is>
          <t>NO</t>
        </is>
      </c>
      <c r="C61" s="9" t="inlineStr">
        <is>
          <t>NO</t>
        </is>
      </c>
      <c r="D61" s="10" t="inlineStr">
        <is>
          <t>3° Año</t>
        </is>
      </c>
      <c r="E61" s="9">
        <f>IF(OR(B61="SI",B61="SÍ",B61=TRUE),"REGULAR","PENDIENTE")</f>
        <v/>
      </c>
      <c r="F61" s="9">
        <f>IF(OR(C61="SI",C61="SÍ",C61=TRUE),"APROBADA",IF(OR(B61="SI",B61="SÍ",B61=TRUE),"RINDE FINAL","ADEUDA"))</f>
        <v/>
      </c>
      <c r="G61" s="9">
        <f>IF(OR(C61="SI",C61="SÍ",C61=TRUE),"✅ Aprobada",IF(OR(B61="SI",B61="SÍ",B61=TRUE),"⏳ Cursada (Rinde Final)","⚪ Pendiente"))</f>
        <v/>
      </c>
    </row>
    <row r="62" ht="20" customHeight="1">
      <c r="A62" s="11" t="inlineStr">
        <is>
          <t>HISTORIA DE LA MATEMATICA "B"</t>
        </is>
      </c>
      <c r="B62" s="9" t="inlineStr">
        <is>
          <t>NO</t>
        </is>
      </c>
      <c r="C62" s="9" t="inlineStr">
        <is>
          <t>NO</t>
        </is>
      </c>
      <c r="D62" s="12" t="inlineStr">
        <is>
          <t>3° Año</t>
        </is>
      </c>
      <c r="E62" s="9">
        <f>IF(OR(B62="SI",B62="SÍ",B62=TRUE),"REGULAR","PENDIENTE")</f>
        <v/>
      </c>
      <c r="F62" s="9">
        <f>IF(OR(C62="SI",C62="SÍ",C62=TRUE),"APROBADA",IF(OR(B62="SI",B62="SÍ",B62=TRUE),"RINDE FINAL","ADEUDA"))</f>
        <v/>
      </c>
      <c r="G62" s="9">
        <f>IF(OR(C62="SI",C62="SÍ",C62=TRUE),"✅ Aprobada",IF(OR(B62="SI",B62="SÍ",B62=TRUE),"⏳ Cursada (Rinde Final)","⚪ Pendiente"))</f>
        <v/>
      </c>
    </row>
    <row r="63" ht="20" customHeight="1">
      <c r="A63" s="8" t="inlineStr">
        <is>
          <t>LECTURA, ESCRITURA Y ORALIDAD II "A"</t>
        </is>
      </c>
      <c r="B63" s="9" t="inlineStr">
        <is>
          <t>NO</t>
        </is>
      </c>
      <c r="C63" s="9" t="inlineStr">
        <is>
          <t>NO</t>
        </is>
      </c>
      <c r="D63" s="10" t="inlineStr">
        <is>
          <t>3° Año</t>
        </is>
      </c>
      <c r="E63" s="9">
        <f>IF(OR(B63="SI",B63="SÍ",B63=TRUE),"REGULAR","PENDIENTE")</f>
        <v/>
      </c>
      <c r="F63" s="9">
        <f>IF(OR(C63="SI",C63="SÍ",C63=TRUE),"APROBADA",IF(OR(B63="SI",B63="SÍ",B63=TRUE),"RINDE FINAL","ADEUDA"))</f>
        <v/>
      </c>
      <c r="G63" s="9">
        <f>IF(OR(C63="SI",C63="SÍ",C63=TRUE),"✅ Aprobada",IF(OR(B63="SI",B63="SÍ",B63=TRUE),"⏳ Cursada (Rinde Final)","⚪ Pendiente"))</f>
        <v/>
      </c>
    </row>
    <row r="64" ht="20" customHeight="1">
      <c r="A64" s="11" t="inlineStr">
        <is>
          <t>LECTURA, ESCRITURA Y ORALIDAD II "B"</t>
        </is>
      </c>
      <c r="B64" s="9" t="inlineStr">
        <is>
          <t>NO</t>
        </is>
      </c>
      <c r="C64" s="9" t="inlineStr">
        <is>
          <t>NO</t>
        </is>
      </c>
      <c r="D64" s="12" t="inlineStr">
        <is>
          <t>3° Año</t>
        </is>
      </c>
      <c r="E64" s="9">
        <f>IF(OR(B64="SI",B64="SÍ",B64=TRUE),"REGULAR","PENDIENTE")</f>
        <v/>
      </c>
      <c r="F64" s="9">
        <f>IF(OR(C64="SI",C64="SÍ",C64=TRUE),"APROBADA",IF(OR(B64="SI",B64="SÍ",B64=TRUE),"RINDE FINAL","ADEUDA"))</f>
        <v/>
      </c>
      <c r="G64" s="9">
        <f>IF(OR(C64="SI",C64="SÍ",C64=TRUE),"✅ Aprobada",IF(OR(B64="SI",B64="SÍ",B64=TRUE),"⏳ Cursada (Rinde Final)","⚪ Pendiente"))</f>
        <v/>
      </c>
    </row>
    <row r="65" ht="20" customHeight="1">
      <c r="A65" s="8" t="inlineStr">
        <is>
          <t>PROBABILIDAD Y ESTADISTICA "B"</t>
        </is>
      </c>
      <c r="B65" s="9" t="inlineStr">
        <is>
          <t>NO</t>
        </is>
      </c>
      <c r="C65" s="9" t="inlineStr">
        <is>
          <t>NO</t>
        </is>
      </c>
      <c r="D65" s="10" t="inlineStr">
        <is>
          <t>3° Año</t>
        </is>
      </c>
      <c r="E65" s="9">
        <f>IF(OR(B65="SI",B65="SÍ",B65=TRUE),"REGULAR","PENDIENTE")</f>
        <v/>
      </c>
      <c r="F65" s="9">
        <f>IF(OR(C65="SI",C65="SÍ",C65=TRUE),"APROBADA",IF(OR(B65="SI",B65="SÍ",B65=TRUE),"RINDE FINAL","ADEUDA"))</f>
        <v/>
      </c>
      <c r="G65" s="9">
        <f>IF(OR(C65="SI",C65="SÍ",C65=TRUE),"✅ Aprobada",IF(OR(B65="SI",B65="SÍ",B65=TRUE),"⏳ Cursada (Rinde Final)","⚪ Pendiente"))</f>
        <v/>
      </c>
    </row>
    <row r="66" ht="20" customHeight="1">
      <c r="A66" s="11" t="inlineStr">
        <is>
          <t>PROBABILIDADES Y ESTADISTICA "A"</t>
        </is>
      </c>
      <c r="B66" s="9" t="inlineStr">
        <is>
          <t>NO</t>
        </is>
      </c>
      <c r="C66" s="9" t="inlineStr">
        <is>
          <t>NO</t>
        </is>
      </c>
      <c r="D66" s="12" t="inlineStr">
        <is>
          <t>3° Año</t>
        </is>
      </c>
      <c r="E66" s="9">
        <f>IF(OR(B66="SI",B66="SÍ",B66=TRUE),"REGULAR","PENDIENTE")</f>
        <v/>
      </c>
      <c r="F66" s="9">
        <f>IF(OR(C66="SI",C66="SÍ",C66=TRUE),"APROBADA",IF(OR(B66="SI",B66="SÍ",B66=TRUE),"RINDE FINAL","ADEUDA"))</f>
        <v/>
      </c>
      <c r="G66" s="9">
        <f>IF(OR(C66="SI",C66="SÍ",C66=TRUE),"✅ Aprobada",IF(OR(B66="SI",B66="SÍ",B66=TRUE),"⏳ Cursada (Rinde Final)","⚪ Pendiente"))</f>
        <v/>
      </c>
    </row>
    <row r="67" ht="20" customHeight="1">
      <c r="A67" s="8" t="inlineStr">
        <is>
          <t>TICS EN EL AULA DE MATEMATICA "A"</t>
        </is>
      </c>
      <c r="B67" s="9" t="inlineStr">
        <is>
          <t>NO</t>
        </is>
      </c>
      <c r="C67" s="9" t="inlineStr">
        <is>
          <t>NO</t>
        </is>
      </c>
      <c r="D67" s="10" t="inlineStr">
        <is>
          <t>3° Año</t>
        </is>
      </c>
      <c r="E67" s="9">
        <f>IF(OR(B67="SI",B67="SÍ",B67=TRUE),"REGULAR","PENDIENTE")</f>
        <v/>
      </c>
      <c r="F67" s="9">
        <f>IF(OR(C67="SI",C67="SÍ",C67=TRUE),"APROBADA",IF(OR(B67="SI",B67="SÍ",B67=TRUE),"RINDE FINAL","ADEUDA"))</f>
        <v/>
      </c>
      <c r="G67" s="9">
        <f>IF(OR(C67="SI",C67="SÍ",C67=TRUE),"✅ Aprobada",IF(OR(B67="SI",B67="SÍ",B67=TRUE),"⏳ Cursada (Rinde Final)","⚪ Pendiente"))</f>
        <v/>
      </c>
    </row>
    <row r="68" ht="20" customHeight="1">
      <c r="A68" s="11" t="inlineStr">
        <is>
          <t>TICS EN EL AULA DE MATEMATICA "B"</t>
        </is>
      </c>
      <c r="B68" s="9" t="inlineStr">
        <is>
          <t>NO</t>
        </is>
      </c>
      <c r="C68" s="9" t="inlineStr">
        <is>
          <t>NO</t>
        </is>
      </c>
      <c r="D68" s="12" t="inlineStr">
        <is>
          <t>3° Año</t>
        </is>
      </c>
      <c r="E68" s="9">
        <f>IF(OR(B68="SI",B68="SÍ",B68=TRUE),"REGULAR","PENDIENTE")</f>
        <v/>
      </c>
      <c r="F68" s="9">
        <f>IF(OR(C68="SI",C68="SÍ",C68=TRUE),"APROBADA",IF(OR(B68="SI",B68="SÍ",B68=TRUE),"RINDE FINAL","ADEUDA"))</f>
        <v/>
      </c>
      <c r="G68" s="9">
        <f>IF(OR(C68="SI",C68="SÍ",C68=TRUE),"✅ Aprobada",IF(OR(B68="SI",B68="SÍ",B68=TRUE),"⏳ Cursada (Rinde Final)","⚪ Pendiente"))</f>
        <v/>
      </c>
    </row>
    <row r="69" ht="20" customHeight="1">
      <c r="A69" s="8" t="inlineStr">
        <is>
          <t>TRAB. DE CAMPO III. CONST. TRAB. MAT. "A"</t>
        </is>
      </c>
      <c r="B69" s="9" t="inlineStr">
        <is>
          <t>NO</t>
        </is>
      </c>
      <c r="C69" s="9" t="inlineStr">
        <is>
          <t>NO</t>
        </is>
      </c>
      <c r="D69" s="10" t="inlineStr">
        <is>
          <t>3° Año</t>
        </is>
      </c>
      <c r="E69" s="9">
        <f>IF(OR(B69="SI",B69="SÍ",B69=TRUE),"REGULAR","PENDIENTE")</f>
        <v/>
      </c>
      <c r="F69" s="9">
        <f>IF(OR(C69="SI",C69="SÍ",C69=TRUE),"APROBADA",IF(OR(B69="SI",B69="SÍ",B69=TRUE),"RINDE FINAL","ADEUDA"))</f>
        <v/>
      </c>
      <c r="G69" s="9">
        <f>IF(OR(C69="SI",C69="SÍ",C69=TRUE),"✅ Aprobada",IF(OR(B69="SI",B69="SÍ",B69=TRUE),"⏳ Cursada (Rinde Final)","⚪ Pendiente"))</f>
        <v/>
      </c>
    </row>
    <row r="70" ht="20" customHeight="1">
      <c r="A70" s="11" t="inlineStr">
        <is>
          <t>TRABAJO DE CAMPO III "B"</t>
        </is>
      </c>
      <c r="B70" s="9" t="inlineStr">
        <is>
          <t>NO</t>
        </is>
      </c>
      <c r="C70" s="9" t="inlineStr">
        <is>
          <t>NO</t>
        </is>
      </c>
      <c r="D70" s="12" t="inlineStr">
        <is>
          <t>3° Año</t>
        </is>
      </c>
      <c r="E70" s="9">
        <f>IF(OR(B70="SI",B70="SÍ",B70=TRUE),"REGULAR","PENDIENTE")</f>
        <v/>
      </c>
      <c r="F70" s="9">
        <f>IF(OR(C70="SI",C70="SÍ",C70=TRUE),"APROBADA",IF(OR(B70="SI",B70="SÍ",B70=TRUE),"RINDE FINAL","ADEUDA"))</f>
        <v/>
      </c>
      <c r="G70" s="9">
        <f>IF(OR(C70="SI",C70="SÍ",C70=TRUE),"✅ Aprobada",IF(OR(B70="SI",B70="SÍ",B70=TRUE),"⏳ Cursada (Rinde Final)","⚪ Pendiente"))</f>
        <v/>
      </c>
    </row>
    <row r="71" ht="24" customHeight="1">
      <c r="A71" s="5" t="inlineStr">
        <is>
          <t>📌 4° AÑO</t>
        </is>
      </c>
    </row>
    <row r="72" ht="20" customHeight="1">
      <c r="A72" s="11" t="inlineStr">
        <is>
          <t>ASTRONOMIA GRAL. BASICA "B" (1° Cuatrimestre)</t>
        </is>
      </c>
      <c r="B72" s="9" t="inlineStr">
        <is>
          <t>NO</t>
        </is>
      </c>
      <c r="C72" s="9" t="inlineStr">
        <is>
          <t>NO</t>
        </is>
      </c>
      <c r="D72" s="12" t="inlineStr">
        <is>
          <t>4° Año</t>
        </is>
      </c>
      <c r="E72" s="9">
        <f>IF(OR(B72="SI",B72="SÍ",B72=TRUE),"REGULAR","PENDIENTE")</f>
        <v/>
      </c>
      <c r="F72" s="9">
        <f>IF(OR(C72="SI",C72="SÍ",C72=TRUE),"APROBADA",IF(OR(B72="SI",B72="SÍ",B72=TRUE),"RINDE FINAL","ADEUDA"))</f>
        <v/>
      </c>
      <c r="G72" s="9">
        <f>IF(OR(C72="SI",C72="SÍ",C72=TRUE),"✅ Aprobada",IF(OR(B72="SI",B72="SÍ",B72=TRUE),"⏳ Cursada (Rinde Final)","⚪ Pendiente"))</f>
        <v/>
      </c>
    </row>
    <row r="73" ht="20" customHeight="1">
      <c r="A73" s="8" t="inlineStr">
        <is>
          <t>CONSTRUCCION DE LA PRACT. DOCENTE "B"</t>
        </is>
      </c>
      <c r="B73" s="9" t="inlineStr">
        <is>
          <t>NO</t>
        </is>
      </c>
      <c r="C73" s="9" t="inlineStr">
        <is>
          <t>NO</t>
        </is>
      </c>
      <c r="D73" s="10" t="inlineStr">
        <is>
          <t>4° Año</t>
        </is>
      </c>
      <c r="E73" s="9">
        <f>IF(OR(B73="SI",B73="SÍ",B73=TRUE),"REGULAR","PENDIENTE")</f>
        <v/>
      </c>
      <c r="F73" s="9">
        <f>IF(OR(C73="SI",C73="SÍ",C73=TRUE),"APROBADA",IF(OR(B73="SI",B73="SÍ",B73=TRUE),"RINDE FINAL","ADEUDA"))</f>
        <v/>
      </c>
      <c r="G73" s="9">
        <f>IF(OR(C73="SI",C73="SÍ",C73=TRUE),"✅ Aprobada",IF(OR(B73="SI",B73="SÍ",B73=TRUE),"⏳ Cursada (Rinde Final)","⚪ Pendiente"))</f>
        <v/>
      </c>
    </row>
    <row r="74" ht="20" customHeight="1">
      <c r="A74" s="11" t="inlineStr">
        <is>
          <t>DIDACTICA DE LA MATEMATICA II "B"</t>
        </is>
      </c>
      <c r="B74" s="9" t="inlineStr">
        <is>
          <t>NO</t>
        </is>
      </c>
      <c r="C74" s="9" t="inlineStr">
        <is>
          <t>NO</t>
        </is>
      </c>
      <c r="D74" s="12" t="inlineStr">
        <is>
          <t>4° Año</t>
        </is>
      </c>
      <c r="E74" s="9">
        <f>IF(OR(B74="SI",B74="SÍ",B74=TRUE),"REGULAR","PENDIENTE")</f>
        <v/>
      </c>
      <c r="F74" s="9">
        <f>IF(OR(C74="SI",C74="SÍ",C74=TRUE),"APROBADA",IF(OR(B74="SI",B74="SÍ",B74=TRUE),"RINDE FINAL","ADEUDA"))</f>
        <v/>
      </c>
      <c r="G74" s="9">
        <f>IF(OR(C74="SI",C74="SÍ",C74=TRUE),"✅ Aprobada",IF(OR(B74="SI",B74="SÍ",B74=TRUE),"⏳ Cursada (Rinde Final)","⚪ Pendiente"))</f>
        <v/>
      </c>
    </row>
    <row r="75" ht="20" customHeight="1">
      <c r="A75" s="8" t="inlineStr">
        <is>
          <t>ECUACIONES DIFERENCIALES "A" (1° Cuatrim)</t>
        </is>
      </c>
      <c r="B75" s="9" t="inlineStr">
        <is>
          <t>NO</t>
        </is>
      </c>
      <c r="C75" s="9" t="inlineStr">
        <is>
          <t>NO</t>
        </is>
      </c>
      <c r="D75" s="10" t="inlineStr">
        <is>
          <t>4° Año</t>
        </is>
      </c>
      <c r="E75" s="9">
        <f>IF(OR(B75="SI",B75="SÍ",B75=TRUE),"REGULAR","PENDIENTE")</f>
        <v/>
      </c>
      <c r="F75" s="9">
        <f>IF(OR(C75="SI",C75="SÍ",C75=TRUE),"APROBADA",IF(OR(B75="SI",B75="SÍ",B75=TRUE),"RINDE FINAL","ADEUDA"))</f>
        <v/>
      </c>
      <c r="G75" s="9">
        <f>IF(OR(C75="SI",C75="SÍ",C75=TRUE),"✅ Aprobada",IF(OR(B75="SI",B75="SÍ",B75=TRUE),"⏳ Cursada (Rinde Final)","⚪ Pendiente"))</f>
        <v/>
      </c>
    </row>
    <row r="76" ht="20" customHeight="1">
      <c r="A76" s="11" t="inlineStr">
        <is>
          <t>EDUCACION SEXUAL INTEGRAL "A" (1º CUATR.)</t>
        </is>
      </c>
      <c r="B76" s="9" t="inlineStr">
        <is>
          <t>NO</t>
        </is>
      </c>
      <c r="C76" s="9" t="inlineStr">
        <is>
          <t>NO</t>
        </is>
      </c>
      <c r="D76" s="12" t="inlineStr">
        <is>
          <t>4° Año</t>
        </is>
      </c>
      <c r="E76" s="9">
        <f>IF(OR(B76="SI",B76="SÍ",B76=TRUE),"REGULAR","PENDIENTE")</f>
        <v/>
      </c>
      <c r="F76" s="9">
        <f>IF(OR(C76="SI",C76="SÍ",C76=TRUE),"APROBADA",IF(OR(B76="SI",B76="SÍ",B76=TRUE),"RINDE FINAL","ADEUDA"))</f>
        <v/>
      </c>
      <c r="G76" s="9">
        <f>IF(OR(C76="SI",C76="SÍ",C76=TRUE),"✅ Aprobada",IF(OR(B76="SI",B76="SÍ",B76=TRUE),"⏳ Cursada (Rinde Final)","⚪ Pendiente"))</f>
        <v/>
      </c>
    </row>
    <row r="77" ht="20" customHeight="1">
      <c r="A77" s="8" t="inlineStr">
        <is>
          <t>FUNDAMENTOS DE LA MATEMATICA "A"</t>
        </is>
      </c>
      <c r="B77" s="9" t="inlineStr">
        <is>
          <t>NO</t>
        </is>
      </c>
      <c r="C77" s="9" t="inlineStr">
        <is>
          <t>NO</t>
        </is>
      </c>
      <c r="D77" s="10" t="inlineStr">
        <is>
          <t>4° Año</t>
        </is>
      </c>
      <c r="E77" s="9">
        <f>IF(OR(B77="SI",B77="SÍ",B77=TRUE),"REGULAR","PENDIENTE")</f>
        <v/>
      </c>
      <c r="F77" s="9">
        <f>IF(OR(C77="SI",C77="SÍ",C77=TRUE),"APROBADA",IF(OR(B77="SI",B77="SÍ",B77=TRUE),"RINDE FINAL","ADEUDA"))</f>
        <v/>
      </c>
      <c r="G77" s="9">
        <f>IF(OR(C77="SI",C77="SÍ",C77=TRUE),"✅ Aprobada",IF(OR(B77="SI",B77="SÍ",B77=TRUE),"⏳ Cursada (Rinde Final)","⚪ Pendiente"))</f>
        <v/>
      </c>
    </row>
    <row r="78" ht="20" customHeight="1">
      <c r="A78" s="11" t="inlineStr">
        <is>
          <t>FUNDAMENTOS DE LA MATEMATICA "B"</t>
        </is>
      </c>
      <c r="B78" s="9" t="inlineStr">
        <is>
          <t>NO</t>
        </is>
      </c>
      <c r="C78" s="9" t="inlineStr">
        <is>
          <t>NO</t>
        </is>
      </c>
      <c r="D78" s="12" t="inlineStr">
        <is>
          <t>4° Año</t>
        </is>
      </c>
      <c r="E78" s="9">
        <f>IF(OR(B78="SI",B78="SÍ",B78=TRUE),"REGULAR","PENDIENTE")</f>
        <v/>
      </c>
      <c r="F78" s="9">
        <f>IF(OR(C78="SI",C78="SÍ",C78=TRUE),"APROBADA",IF(OR(B78="SI",B78="SÍ",B78=TRUE),"RINDE FINAL","ADEUDA"))</f>
        <v/>
      </c>
      <c r="G78" s="9">
        <f>IF(OR(C78="SI",C78="SÍ",C78=TRUE),"✅ Aprobada",IF(OR(B78="SI",B78="SÍ",B78=TRUE),"⏳ Cursada (Rinde Final)","⚪ Pendiente"))</f>
        <v/>
      </c>
    </row>
    <row r="79" ht="20" customHeight="1">
      <c r="A79" s="8" t="inlineStr">
        <is>
          <t>LENGUA EXTRANJERA "A" (CUATRIMESTRAL)</t>
        </is>
      </c>
      <c r="B79" s="9" t="inlineStr">
        <is>
          <t>NO</t>
        </is>
      </c>
      <c r="C79" s="9" t="inlineStr">
        <is>
          <t>NO</t>
        </is>
      </c>
      <c r="D79" s="10" t="inlineStr">
        <is>
          <t>4° Año</t>
        </is>
      </c>
      <c r="E79" s="9">
        <f>IF(OR(B79="SI",B79="SÍ",B79=TRUE),"REGULAR","PENDIENTE")</f>
        <v/>
      </c>
      <c r="F79" s="9">
        <f>IF(OR(C79="SI",C79="SÍ",C79=TRUE),"APROBADA",IF(OR(B79="SI",B79="SÍ",B79=TRUE),"RINDE FINAL","ADEUDA"))</f>
        <v/>
      </c>
      <c r="G79" s="9">
        <f>IF(OR(C79="SI",C79="SÍ",C79=TRUE),"✅ Aprobada",IF(OR(B79="SI",B79="SÍ",B79=TRUE),"⏳ Cursada (Rinde Final)","⚪ Pendiente"))</f>
        <v/>
      </c>
    </row>
    <row r="80" ht="20" customHeight="1">
      <c r="A80" s="11" t="inlineStr">
        <is>
          <t>REFLEXION Y ACT. S/LA PRACT.DOC. "A"(1° CUATR.)</t>
        </is>
      </c>
      <c r="B80" s="9" t="inlineStr">
        <is>
          <t>NO</t>
        </is>
      </c>
      <c r="C80" s="9" t="inlineStr">
        <is>
          <t>NO</t>
        </is>
      </c>
      <c r="D80" s="12" t="inlineStr">
        <is>
          <t>4° Año</t>
        </is>
      </c>
      <c r="E80" s="9">
        <f>IF(OR(B80="SI",B80="SÍ",B80=TRUE),"REGULAR","PENDIENTE")</f>
        <v/>
      </c>
      <c r="F80" s="9">
        <f>IF(OR(C80="SI",C80="SÍ",C80=TRUE),"APROBADA",IF(OR(B80="SI",B80="SÍ",B80=TRUE),"RINDE FINAL","ADEUDA"))</f>
        <v/>
      </c>
      <c r="G80" s="9">
        <f>IF(OR(C80="SI",C80="SÍ",C80=TRUE),"✅ Aprobada",IF(OR(B80="SI",B80="SÍ",B80=TRUE),"⏳ Cursada (Rinde Final)","⚪ Pendiente"))</f>
        <v/>
      </c>
    </row>
    <row r="81" ht="20" customHeight="1">
      <c r="A81" s="8" t="inlineStr">
        <is>
          <t>SISTEMA Y POLITICA EDUCATIVA "A" (1° CUATR.)</t>
        </is>
      </c>
      <c r="B81" s="9" t="inlineStr">
        <is>
          <t>NO</t>
        </is>
      </c>
      <c r="C81" s="9" t="inlineStr">
        <is>
          <t>NO</t>
        </is>
      </c>
      <c r="D81" s="10" t="inlineStr">
        <is>
          <t>4° Año</t>
        </is>
      </c>
      <c r="E81" s="9">
        <f>IF(OR(B81="SI",B81="SÍ",B81=TRUE),"REGULAR","PENDIENTE")</f>
        <v/>
      </c>
      <c r="F81" s="9">
        <f>IF(OR(C81="SI",C81="SÍ",C81=TRUE),"APROBADA",IF(OR(B81="SI",B81="SÍ",B81=TRUE),"RINDE FINAL","ADEUDA"))</f>
        <v/>
      </c>
      <c r="G81" s="9">
        <f>IF(OR(C81="SI",C81="SÍ",C81=TRUE),"✅ Aprobada",IF(OR(B81="SI",B81="SÍ",B81=TRUE),"⏳ Cursada (Rinde Final)","⚪ Pendiente"))</f>
        <v/>
      </c>
    </row>
    <row r="82" ht="24" customHeight="1">
      <c r="A82" s="5" t="inlineStr">
        <is>
          <t>📌 5° AÑO (NIVEL SUPERIOR / TRAMO SUPERIOR)</t>
        </is>
      </c>
    </row>
    <row r="83" ht="20" customHeight="1">
      <c r="A83" s="8" t="inlineStr">
        <is>
          <t>ANALISIS MATEMÁTICO III "B"</t>
        </is>
      </c>
      <c r="B83" s="9" t="inlineStr">
        <is>
          <t>NO</t>
        </is>
      </c>
      <c r="C83" s="9" t="inlineStr">
        <is>
          <t>NO</t>
        </is>
      </c>
      <c r="D83" s="10" t="inlineStr">
        <is>
          <t>5° Año (Nivel Superior / Tramo Superior)</t>
        </is>
      </c>
      <c r="E83" s="9">
        <f>IF(OR(B83="SI",B83="SÍ",B83=TRUE),"REGULAR","PENDIENTE")</f>
        <v/>
      </c>
      <c r="F83" s="9">
        <f>IF(OR(C83="SI",C83="SÍ",C83=TRUE),"APROBADA",IF(OR(B83="SI",B83="SÍ",B83=TRUE),"RINDE FINAL","ADEUDA"))</f>
        <v/>
      </c>
      <c r="G83" s="9">
        <f>IF(OR(C83="SI",C83="SÍ",C83=TRUE),"✅ Aprobada",IF(OR(B83="SI",B83="SÍ",B83=TRUE),"⏳ Cursada (Rinde Final)","⚪ Pendiente"))</f>
        <v/>
      </c>
    </row>
    <row r="84" ht="20" customHeight="1">
      <c r="A84" s="11" t="inlineStr">
        <is>
          <t>ANÁLISIS MATEMÁTICO III "A"</t>
        </is>
      </c>
      <c r="B84" s="9" t="inlineStr">
        <is>
          <t>NO</t>
        </is>
      </c>
      <c r="C84" s="9" t="inlineStr">
        <is>
          <t>NO</t>
        </is>
      </c>
      <c r="D84" s="12" t="inlineStr">
        <is>
          <t>5° Año (Nivel Superior / Tramo Superior)</t>
        </is>
      </c>
      <c r="E84" s="9">
        <f>IF(OR(B84="SI",B84="SÍ",B84=TRUE),"REGULAR","PENDIENTE")</f>
        <v/>
      </c>
      <c r="F84" s="9">
        <f>IF(OR(C84="SI",C84="SÍ",C84=TRUE),"APROBADA",IF(OR(B84="SI",B84="SÍ",B84=TRUE),"RINDE FINAL","ADEUDA"))</f>
        <v/>
      </c>
      <c r="G84" s="9">
        <f>IF(OR(C84="SI",C84="SÍ",C84=TRUE),"✅ Aprobada",IF(OR(B84="SI",B84="SÍ",B84=TRUE),"⏳ Cursada (Rinde Final)","⚪ Pendiente"))</f>
        <v/>
      </c>
    </row>
    <row r="85" ht="20" customHeight="1">
      <c r="A85" s="8" t="inlineStr">
        <is>
          <t>CONSTRUCCION DE LA PRACTICA DOCENTE II "B"</t>
        </is>
      </c>
      <c r="B85" s="9" t="inlineStr">
        <is>
          <t>NO</t>
        </is>
      </c>
      <c r="C85" s="9" t="inlineStr">
        <is>
          <t>NO</t>
        </is>
      </c>
      <c r="D85" s="10" t="inlineStr">
        <is>
          <t>5° Año (Nivel Superior / Tramo Superior)</t>
        </is>
      </c>
      <c r="E85" s="9">
        <f>IF(OR(B85="SI",B85="SÍ",B85=TRUE),"REGULAR","PENDIENTE")</f>
        <v/>
      </c>
      <c r="F85" s="9">
        <f>IF(OR(C85="SI",C85="SÍ",C85=TRUE),"APROBADA",IF(OR(B85="SI",B85="SÍ",B85=TRUE),"RINDE FINAL","ADEUDA"))</f>
        <v/>
      </c>
      <c r="G85" s="9">
        <f>IF(OR(C85="SI",C85="SÍ",C85=TRUE),"✅ Aprobada",IF(OR(B85="SI",B85="SÍ",B85=TRUE),"⏳ Cursada (Rinde Final)","⚪ Pendiente"))</f>
        <v/>
      </c>
    </row>
    <row r="86" ht="20" customHeight="1">
      <c r="A86" s="11" t="inlineStr">
        <is>
          <t>DIDACTICA DE LA MATEMATICA II "B"</t>
        </is>
      </c>
      <c r="B86" s="9" t="inlineStr">
        <is>
          <t>NO</t>
        </is>
      </c>
      <c r="C86" s="9" t="inlineStr">
        <is>
          <t>NO</t>
        </is>
      </c>
      <c r="D86" s="12" t="inlineStr">
        <is>
          <t>5° Año (Nivel Superior / Tramo Superior)</t>
        </is>
      </c>
      <c r="E86" s="9">
        <f>IF(OR(B86="SI",B86="SÍ",B86=TRUE),"REGULAR","PENDIENTE")</f>
        <v/>
      </c>
      <c r="F86" s="9">
        <f>IF(OR(C86="SI",C86="SÍ",C86=TRUE),"APROBADA",IF(OR(B86="SI",B86="SÍ",B86=TRUE),"RINDE FINAL","ADEUDA"))</f>
        <v/>
      </c>
      <c r="G86" s="9">
        <f>IF(OR(C86="SI",C86="SÍ",C86=TRUE),"✅ Aprobada",IF(OR(B86="SI",B86="SÍ",B86=TRUE),"⏳ Cursada (Rinde Final)","⚪ Pendiente"))</f>
        <v/>
      </c>
    </row>
    <row r="87" ht="20" customHeight="1">
      <c r="A87" s="8" t="inlineStr">
        <is>
          <t>FUNDAMENTOS DE LA FISICA "A"</t>
        </is>
      </c>
      <c r="B87" s="9" t="inlineStr">
        <is>
          <t>NO</t>
        </is>
      </c>
      <c r="C87" s="9" t="inlineStr">
        <is>
          <t>NO</t>
        </is>
      </c>
      <c r="D87" s="10" t="inlineStr">
        <is>
          <t>5° Año (Nivel Superior / Tramo Superior)</t>
        </is>
      </c>
      <c r="E87" s="9">
        <f>IF(OR(B87="SI",B87="SÍ",B87=TRUE),"REGULAR","PENDIENTE")</f>
        <v/>
      </c>
      <c r="F87" s="9">
        <f>IF(OR(C87="SI",C87="SÍ",C87=TRUE),"APROBADA",IF(OR(B87="SI",B87="SÍ",B87=TRUE),"RINDE FINAL","ADEUDA"))</f>
        <v/>
      </c>
      <c r="G87" s="9">
        <f>IF(OR(C87="SI",C87="SÍ",C87=TRUE),"✅ Aprobada",IF(OR(B87="SI",B87="SÍ",B87=TRUE),"⏳ Cursada (Rinde Final)","⚪ Pendiente"))</f>
        <v/>
      </c>
    </row>
    <row r="88" ht="20" customHeight="1">
      <c r="A88" s="11" t="inlineStr">
        <is>
          <t>FUNDAMENTOS DE LA FISICA "B"</t>
        </is>
      </c>
      <c r="B88" s="9" t="inlineStr">
        <is>
          <t>NO</t>
        </is>
      </c>
      <c r="C88" s="9" t="inlineStr">
        <is>
          <t>NO</t>
        </is>
      </c>
      <c r="D88" s="12" t="inlineStr">
        <is>
          <t>5° Año (Nivel Superior / Tramo Superior)</t>
        </is>
      </c>
      <c r="E88" s="9">
        <f>IF(OR(B88="SI",B88="SÍ",B88=TRUE),"REGULAR","PENDIENTE")</f>
        <v/>
      </c>
      <c r="F88" s="9">
        <f>IF(OR(C88="SI",C88="SÍ",C88=TRUE),"APROBADA",IF(OR(B88="SI",B88="SÍ",B88=TRUE),"RINDE FINAL","ADEUDA"))</f>
        <v/>
      </c>
      <c r="G88" s="9">
        <f>IF(OR(C88="SI",C88="SÍ",C88=TRUE),"✅ Aprobada",IF(OR(B88="SI",B88="SÍ",B88=TRUE),"⏳ Cursada (Rinde Final)","⚪ Pendiente"))</f>
        <v/>
      </c>
    </row>
    <row r="89" ht="20" customHeight="1">
      <c r="A89" s="8" t="inlineStr">
        <is>
          <t>TEMAS AVANZADOS DE MATEMATICA "A"</t>
        </is>
      </c>
      <c r="B89" s="9" t="inlineStr">
        <is>
          <t>NO</t>
        </is>
      </c>
      <c r="C89" s="9" t="inlineStr">
        <is>
          <t>NO</t>
        </is>
      </c>
      <c r="D89" s="10" t="inlineStr">
        <is>
          <t>5° Año (Nivel Superior / Tramo Superior)</t>
        </is>
      </c>
      <c r="E89" s="9">
        <f>IF(OR(B89="SI",B89="SÍ",B89=TRUE),"REGULAR","PENDIENTE")</f>
        <v/>
      </c>
      <c r="F89" s="9">
        <f>IF(OR(C89="SI",C89="SÍ",C89=TRUE),"APROBADA",IF(OR(B89="SI",B89="SÍ",B89=TRUE),"RINDE FINAL","ADEUDA"))</f>
        <v/>
      </c>
      <c r="G89" s="9">
        <f>IF(OR(C89="SI",C89="SÍ",C89=TRUE),"✅ Aprobada",IF(OR(B89="SI",B89="SÍ",B89=TRUE),"⏳ Cursada (Rinde Final)","⚪ Pendiente"))</f>
        <v/>
      </c>
    </row>
    <row r="90" ht="24" customHeight="1">
      <c r="A90" s="5" t="inlineStr">
        <is>
          <t>📌 6° AÑO (NIVEL SUPERIOR / TRAMO SUPERIOR)</t>
        </is>
      </c>
    </row>
    <row r="91" ht="20" customHeight="1">
      <c r="A91" s="8" t="inlineStr">
        <is>
          <t>Seminario de Especialización Superior II</t>
        </is>
      </c>
      <c r="B91" s="9" t="inlineStr">
        <is>
          <t>NO</t>
        </is>
      </c>
      <c r="C91" s="9" t="inlineStr">
        <is>
          <t>NO</t>
        </is>
      </c>
      <c r="D91" s="10" t="inlineStr">
        <is>
          <t>6° Año (Nivel Superior / Tramo Superior)</t>
        </is>
      </c>
      <c r="E91" s="9">
        <f>IF(OR(B91="SI",B91="SÍ",B91=TRUE),"REGULAR","PENDIENTE")</f>
        <v/>
      </c>
      <c r="F91" s="9">
        <f>IF(OR(C91="SI",C91="SÍ",C91=TRUE),"APROBADA",IF(OR(B91="SI",B91="SÍ",B91=TRUE),"RINDE FINAL","ADEUDA"))</f>
        <v/>
      </c>
      <c r="G91" s="9">
        <f>IF(OR(C91="SI",C91="SÍ",C91=TRUE),"✅ Aprobada",IF(OR(B91="SI",B91="SÍ",B91=TRUE),"⏳ Cursada (Rinde Final)","⚪ Pendiente"))</f>
        <v/>
      </c>
    </row>
    <row r="92" ht="20" customHeight="1">
      <c r="A92" s="11" t="inlineStr">
        <is>
          <t>Tesis / Trabajo Final de Licenciatura</t>
        </is>
      </c>
      <c r="B92" s="9" t="inlineStr">
        <is>
          <t>NO</t>
        </is>
      </c>
      <c r="C92" s="9" t="inlineStr">
        <is>
          <t>NO</t>
        </is>
      </c>
      <c r="D92" s="12" t="inlineStr">
        <is>
          <t>6° Año (Nivel Superior / Tramo Superior)</t>
        </is>
      </c>
      <c r="E92" s="9">
        <f>IF(OR(B92="SI",B92="SÍ",B92=TRUE),"REGULAR","PENDIENTE")</f>
        <v/>
      </c>
      <c r="F92" s="9">
        <f>IF(OR(C92="SI",C92="SÍ",C92=TRUE),"APROBADA",IF(OR(B92="SI",B92="SÍ",B92=TRUE),"RINDE FINAL","ADEUDA"))</f>
        <v/>
      </c>
      <c r="G92" s="9">
        <f>IF(OR(C92="SI",C92="SÍ",C92=TRUE),"✅ Aprobada",IF(OR(B92="SI",B92="SÍ",B92=TRUE),"⏳ Cursada (Rinde Final)","⚪ Pendiente"))</f>
        <v/>
      </c>
    </row>
    <row r="93" ht="20" customHeight="1">
      <c r="A93" s="8" t="inlineStr">
        <is>
          <t>Práctica de Nivel Superior II</t>
        </is>
      </c>
      <c r="B93" s="9" t="inlineStr">
        <is>
          <t>NO</t>
        </is>
      </c>
      <c r="C93" s="9" t="inlineStr">
        <is>
          <t>NO</t>
        </is>
      </c>
      <c r="D93" s="10" t="inlineStr">
        <is>
          <t>6° Año (Nivel Superior / Tramo Superior)</t>
        </is>
      </c>
      <c r="E93" s="9">
        <f>IF(OR(B93="SI",B93="SÍ",B93=TRUE),"REGULAR","PENDIENTE")</f>
        <v/>
      </c>
      <c r="F93" s="9">
        <f>IF(OR(C93="SI",C93="SÍ",C93=TRUE),"APROBADA",IF(OR(B93="SI",B93="SÍ",B93=TRUE),"RINDE FINAL","ADEUDA"))</f>
        <v/>
      </c>
      <c r="G93" s="9">
        <f>IF(OR(C93="SI",C93="SÍ",C93=TRUE),"✅ Aprobada",IF(OR(B93="SI",B93="SÍ",B93=TRUE),"⏳ Cursada (Rinde Final)","⚪ Pendiente"))</f>
        <v/>
      </c>
    </row>
    <row r="94" ht="20" customHeight="1">
      <c r="A94" s="11" t="inlineStr">
        <is>
          <t>Acreditación de Residencia Superior</t>
        </is>
      </c>
      <c r="B94" s="9" t="inlineStr">
        <is>
          <t>NO</t>
        </is>
      </c>
      <c r="C94" s="9" t="inlineStr">
        <is>
          <t>NO</t>
        </is>
      </c>
      <c r="D94" s="12" t="inlineStr">
        <is>
          <t>6° Año (Nivel Superior / Tramo Superior)</t>
        </is>
      </c>
      <c r="E94" s="9">
        <f>IF(OR(B94="SI",B94="SÍ",B94=TRUE),"REGULAR","PENDIENTE")</f>
        <v/>
      </c>
      <c r="F94" s="9">
        <f>IF(OR(C94="SI",C94="SÍ",C94=TRUE),"APROBADA",IF(OR(B94="SI",B94="SÍ",B94=TRUE),"RINDE FINAL","ADEUDA"))</f>
        <v/>
      </c>
      <c r="G94" s="9">
        <f>IF(OR(C94="SI",C94="SÍ",C94=TRUE),"✅ Aprobada",IF(OR(B94="SI",B94="SÍ",B94=TRUE),"⏳ Cursada (Rinde Final)","⚪ Pendiente"))</f>
        <v/>
      </c>
    </row>
  </sheetData>
  <mergeCells count="16">
    <mergeCell ref="I14:J14"/>
    <mergeCell ref="I12:J12"/>
    <mergeCell ref="A1:G1"/>
    <mergeCell ref="I16:J16"/>
    <mergeCell ref="I15:J15"/>
    <mergeCell ref="A35:G35"/>
    <mergeCell ref="A4:G4"/>
    <mergeCell ref="I11:J11"/>
    <mergeCell ref="A2:G2"/>
    <mergeCell ref="A52:G52"/>
    <mergeCell ref="A82:G82"/>
    <mergeCell ref="I13:J13"/>
    <mergeCell ref="A90:G90"/>
    <mergeCell ref="A71:G71"/>
    <mergeCell ref="I17:J17"/>
    <mergeCell ref="I3:J3"/>
  </mergeCells>
  <dataValidations count="1">
    <dataValidation sqref="B4:C94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2026-08-31T00:07:27Z</dcterms:created>
  <dcterms:modified xmlns:dcterms="http://purl.org/dc/terms/" xmlns:xsi="http://www.w3.org/2001/XMLSchema-instance" xsi:type="dcterms:W3CDTF">2026-08-31T00:07:27Z</dcterms:modified>
</cp:coreProperties>
</file>