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i val="1"/>
      <color rgb="0064748B"/>
      <sz val="9"/>
    </font>
    <font>
      <name val="Arial"/>
      <color rgb="000F172A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4" fontId="9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8" fillId="5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32" customWidth="1" min="4" max="4"/>
    <col width="16" customWidth="1" min="5" max="5"/>
    <col width="18" customWidth="1" min="6" max="6"/>
    <col width="20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PERSONAL | ALTILLO JVG</t>
        </is>
      </c>
    </row>
    <row r="2" ht="20" customHeight="1">
      <c r="A2" s="2" t="inlineStr">
        <is>
          <t>Desarrollado por La Caravana + Estudiantes Independientes (Lista 90) -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(SÍ / NO)</t>
        </is>
      </c>
      <c r="C3" s="3" t="inlineStr">
        <is>
          <t>¿Final Aprobado? (SÍ / NO)</t>
        </is>
      </c>
      <c r="D3" s="3" t="inlineStr">
        <is>
          <t>Correlativas para Cursar</t>
        </is>
      </c>
      <c r="E3" s="3" t="inlineStr">
        <is>
          <t>¿Podés Cursar?</t>
        </is>
      </c>
      <c r="F3" s="3" t="inlineStr">
        <is>
          <t>¿Podés Rendir Final?</t>
        </is>
      </c>
      <c r="G3" s="3" t="inlineStr">
        <is>
          <t>Estado Trayectoria</t>
        </is>
      </c>
      <c r="I3" s="4" t="inlineStr">
        <is>
          <t>📊 RESUMEN DE AVANCE</t>
        </is>
      </c>
    </row>
    <row r="4" ht="24" customHeight="1">
      <c r="A4" s="5" t="inlineStr">
        <is>
          <t>📌 PRIMER AÑO</t>
        </is>
      </c>
      <c r="I4" s="6" t="inlineStr">
        <is>
          <t>Total Materias del Plan</t>
        </is>
      </c>
      <c r="J4" s="7" t="n">
        <v>42</v>
      </c>
    </row>
    <row r="5" ht="24" customHeight="1">
      <c r="A5" s="8" t="inlineStr">
        <is>
          <t>Lógica 1 y Teoría de la Argumentación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Sin correlativas previas</t>
        </is>
      </c>
      <c r="E5" s="9">
        <f>IF(B5="SÍ","CURSADA REGULAR","¡HABILITADA!")</f>
        <v/>
      </c>
      <c r="F5" s="9">
        <f>IF(C5="SÍ","APROBADA",IF(B5="SÍ","¡LISTO P/ FINAL!","Falta cursada"))</f>
        <v/>
      </c>
      <c r="G5" s="9">
        <f>IF(C5="SÍ","✅ Materia Aprobada",IF(B5="SÍ","⏳ Regular (Adeuda Final)","⚪ Pendiente"))</f>
        <v/>
      </c>
      <c r="I5" s="6" t="inlineStr">
        <is>
          <t>Cursadas Regulares</t>
        </is>
      </c>
      <c r="J5" s="7">
        <f>COUNTIF(B4:B50, "SÍ")</f>
        <v/>
      </c>
    </row>
    <row r="6" ht="24" customHeight="1">
      <c r="A6" s="11" t="inlineStr">
        <is>
          <t>Introducción a la Filosofía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Sin correlativas previas</t>
        </is>
      </c>
      <c r="E6" s="9">
        <f>IF(B6="SÍ","CURSADA REGULAR","¡HABILITADA!")</f>
        <v/>
      </c>
      <c r="F6" s="9">
        <f>IF(C6="SÍ","APROBADA",IF(B6="SÍ","¡LISTO P/ FINAL!","Falta cursada"))</f>
        <v/>
      </c>
      <c r="G6" s="9">
        <f>IF(C6="SÍ","✅ Materia Aprobada",IF(B6="SÍ","⏳ Regular (Adeuda Final)","⚪ Pendiente"))</f>
        <v/>
      </c>
      <c r="I6" s="6" t="inlineStr">
        <is>
          <t>Finales Aprobados</t>
        </is>
      </c>
      <c r="J6" s="7">
        <f>COUNTIF(C4:C50, "SÍ")</f>
        <v/>
      </c>
    </row>
    <row r="7" ht="24" customHeight="1">
      <c r="A7" s="8" t="inlineStr">
        <is>
          <t>Psicología Educacional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Sin correlativas previas</t>
        </is>
      </c>
      <c r="E7" s="9">
        <f>IF(B7="SÍ","CURSADA REGULAR","¡HABILITADA!")</f>
        <v/>
      </c>
      <c r="F7" s="9">
        <f>IF(C7="SÍ","APROBADA",IF(B7="SÍ","¡LISTO P/ FINAL!","Falta cursada"))</f>
        <v/>
      </c>
      <c r="G7" s="9">
        <f>IF(C7="SÍ","✅ Materia Aprobada",IF(B7="SÍ","⏳ Regular (Adeuda Final)","⚪ Pendiente"))</f>
        <v/>
      </c>
      <c r="I7" s="6" t="inlineStr">
        <is>
          <t>Finales Adeudados</t>
        </is>
      </c>
      <c r="J7" s="7">
        <f>COUNTIF(B4:B50, "SÍ") - COUNTIF(C4:C50, "SÍ")</f>
        <v/>
      </c>
    </row>
    <row r="8" ht="24" customHeight="1">
      <c r="A8" s="11" t="inlineStr">
        <is>
          <t>Psicología del Desarrollo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Sin correlativas previas</t>
        </is>
      </c>
      <c r="E8" s="9">
        <f>IF(B8="SÍ","CURSADA REGULAR","¡HABILITADA!")</f>
        <v/>
      </c>
      <c r="F8" s="9">
        <f>IF(C8="SÍ","APROBADA",IF(B8="SÍ","¡LISTO P/ FINAL!","Falta cursada"))</f>
        <v/>
      </c>
      <c r="G8" s="9">
        <f>IF(C8="SÍ","✅ Materia Aprobada",IF(B8="SÍ","⏳ Regular (Adeuda Final)","⚪ Pendiente"))</f>
        <v/>
      </c>
      <c r="I8" s="6" t="inlineStr">
        <is>
          <t>% Cursadas Completadas</t>
        </is>
      </c>
      <c r="J8" s="13">
        <f>COUNTIF(B4:B50, "SÍ") / 42</f>
        <v/>
      </c>
    </row>
    <row r="9" ht="24" customHeight="1">
      <c r="A9" s="8" t="inlineStr">
        <is>
          <t>Sociología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Sin correlativas previas</t>
        </is>
      </c>
      <c r="E9" s="9">
        <f>IF(B9="SÍ","CURSADA REGULAR","¡HABILITADA!")</f>
        <v/>
      </c>
      <c r="F9" s="9">
        <f>IF(C9="SÍ","APROBADA",IF(B9="SÍ","¡LISTO P/ FINAL!","Falta cursada"))</f>
        <v/>
      </c>
      <c r="G9" s="9">
        <f>IF(C9="SÍ","✅ Materia Aprobada",IF(B9="SÍ","⏳ Regular (Adeuda Final)","⚪ Pendiente"))</f>
        <v/>
      </c>
      <c r="I9" s="6" t="inlineStr">
        <is>
          <t>% Carrera Aprobada (Finales)</t>
        </is>
      </c>
      <c r="J9" s="13">
        <f>COUNTIF(C4:C50, "SÍ") / 42</f>
        <v/>
      </c>
    </row>
    <row r="10" ht="20" customHeight="1">
      <c r="A10" s="11" t="inlineStr">
        <is>
          <t>Pedagogía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Sin correlativas previas</t>
        </is>
      </c>
      <c r="E10" s="9">
        <f>IF(B10="SÍ","CURSADA REGULAR","¡HABILITADA!")</f>
        <v/>
      </c>
      <c r="F10" s="9">
        <f>IF(C10="SÍ","APROBADA",IF(B10="SÍ","¡LISTO P/ FINAL!","Falta cursada"))</f>
        <v/>
      </c>
      <c r="G10" s="9">
        <f>IF(C10="SÍ","✅ Materia Aprobada",IF(B10="SÍ","⏳ Regular (Adeuda Final)","⚪ Pendiente"))</f>
        <v/>
      </c>
    </row>
    <row r="11" ht="20" customHeight="1">
      <c r="A11" s="8" t="inlineStr">
        <is>
          <t>LEO 1 (Lectura y Escritura Académica)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Sin correlativas previas</t>
        </is>
      </c>
      <c r="E11" s="9">
        <f>IF(B11="SÍ","CURSADA REGULAR","¡HABILITADA!")</f>
        <v/>
      </c>
      <c r="F11" s="9">
        <f>IF(C11="SÍ","APROBADA",IF(B11="SÍ","¡LISTO P/ FINAL!","Falta cursada"))</f>
        <v/>
      </c>
      <c r="G11" s="9">
        <f>IF(C11="SÍ","✅ Materia Aprobada",IF(B11="SÍ","⏳ Regular (Adeuda Final)","⚪ Pendiente"))</f>
        <v/>
      </c>
      <c r="I11" s="14" t="inlineStr">
        <is>
          <t>💡 INSTRUCCIONES DE USO</t>
        </is>
      </c>
    </row>
    <row r="12" ht="28" customHeight="1">
      <c r="A12" s="11" t="inlineStr">
        <is>
          <t>Trabajo de Campo 1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Sin correlativas previas</t>
        </is>
      </c>
      <c r="E12" s="9">
        <f>IF(B12="SÍ","CURSADA REGULAR","¡HABILITADA!")</f>
        <v/>
      </c>
      <c r="F12" s="9">
        <f>IF(C12="SÍ","APROBADA",IF(B12="SÍ","¡LISTO P/ FINAL!","Falta cursada"))</f>
        <v/>
      </c>
      <c r="G12" s="9">
        <f>IF(C12="SÍ","✅ Materia Aprobada",IF(B12="SÍ","⏳ Regular (Adeuda Final)","⚪ Pendiente"))</f>
        <v/>
      </c>
      <c r="I12" s="15" t="inlineStr">
        <is>
          <t>1. Escribí 'SÍ' en la columna B cuando tengas la cursada regular aprobada.</t>
        </is>
      </c>
    </row>
    <row r="13" ht="28" customHeight="1">
      <c r="A13" s="8" t="inlineStr">
        <is>
          <t>Educación Sexual Integral (ESI)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Sin correlativas previas</t>
        </is>
      </c>
      <c r="E13" s="9">
        <f>IF(B13="SÍ","CURSADA REGULAR","¡HABILITADA!")</f>
        <v/>
      </c>
      <c r="F13" s="9">
        <f>IF(C13="SÍ","APROBADA",IF(B13="SÍ","¡LISTO P/ FINAL!","Falta cursada"))</f>
        <v/>
      </c>
      <c r="G13" s="9">
        <f>IF(C13="SÍ","✅ Materia Aprobada",IF(B13="SÍ","⏳ Regular (Adeuda Final)","⚪ Pendiente"))</f>
        <v/>
      </c>
      <c r="I13" s="15" t="inlineStr">
        <is>
          <t>2. Escribí 'SÍ' en la columna C cuando hayas aprobado el examen final.</t>
        </is>
      </c>
    </row>
    <row r="14" ht="28" customHeight="1">
      <c r="A14" s="11" t="inlineStr">
        <is>
          <t>Lengua Extranjera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Sin correlativas previas</t>
        </is>
      </c>
      <c r="E14" s="9">
        <f>IF(B14="SÍ","CURSADA REGULAR","¡HABILITADA!")</f>
        <v/>
      </c>
      <c r="F14" s="9">
        <f>IF(C14="SÍ","APROBADA",IF(B14="SÍ","¡LISTO P/ FINAL!","Falta cursada"))</f>
        <v/>
      </c>
      <c r="G14" s="9">
        <f>IF(C14="SÍ","✅ Materia Aprobada",IF(B14="SÍ","⏳ Regular (Adeuda Final)","⚪ Pendiente"))</f>
        <v/>
      </c>
      <c r="I14" s="15" t="inlineStr">
        <is>
          <t>3. Las columnas E y F te dirán automáticamente si estás en condiciones de cursar o rendir cada materia.</t>
        </is>
      </c>
    </row>
    <row r="15" ht="28" customHeight="1">
      <c r="A15" s="5" t="inlineStr">
        <is>
          <t>📌 SEGUNDO AÑO</t>
        </is>
      </c>
      <c r="I15" s="15" t="inlineStr">
        <is>
          <t>4. El panel de la derecha calcula tus porcentajes en tiempo real.</t>
        </is>
      </c>
    </row>
    <row r="16" ht="28" customHeight="1">
      <c r="A16" s="11" t="inlineStr">
        <is>
          <t>Didáctica General</t>
        </is>
      </c>
      <c r="B16" s="9" t="inlineStr">
        <is>
          <t>NO</t>
        </is>
      </c>
      <c r="C16" s="9" t="inlineStr">
        <is>
          <t>NO</t>
        </is>
      </c>
      <c r="D16" s="16" t="inlineStr">
        <is>
          <t>Pedagogía</t>
        </is>
      </c>
      <c r="E16" s="9">
        <f>IF(B16="SÍ","CURSADA REGULAR",IF(AND(B10="SÍ"),"¡HABILITADA!","Faltan correlat."))</f>
        <v/>
      </c>
      <c r="F16" s="9">
        <f>IF(C16="SÍ","APROBADA",IF(AND(B16="SÍ",AND(C10="SÍ")),"¡LISTO P/ FINAL!","Faltan finales prev."))</f>
        <v/>
      </c>
      <c r="G16" s="9">
        <f>IF(C16="SÍ","✅ Materia Aprobada",IF(B16="SÍ","⏳ Regular (Adeuda Final)","⚪ Pendiente"))</f>
        <v/>
      </c>
      <c r="I16" s="15" t="inlineStr">
        <is>
          <t>5. ¡Guardá una copia en tu Google Drive personal para no perder tus avances!</t>
        </is>
      </c>
    </row>
    <row r="17" ht="20" customHeight="1">
      <c r="A17" s="8" t="inlineStr">
        <is>
          <t>Historia de la Educación Argentina</t>
        </is>
      </c>
      <c r="B17" s="9" t="inlineStr">
        <is>
          <t>NO</t>
        </is>
      </c>
      <c r="C17" s="9" t="inlineStr">
        <is>
          <t>NO</t>
        </is>
      </c>
      <c r="D17" s="17" t="inlineStr">
        <is>
          <t>Pedagogía, Sociología</t>
        </is>
      </c>
      <c r="E17" s="9">
        <f>IF(B17="SÍ","CURSADA REGULAR",IF(AND(B10="SÍ",B9="SÍ"),"¡HABILITADA!","Faltan correlat."))</f>
        <v/>
      </c>
      <c r="F17" s="9">
        <f>IF(C17="SÍ","APROBADA",IF(AND(B17="SÍ",AND(C10="SÍ",C9="SÍ")),"¡LISTO P/ FINAL!","Faltan finales prev."))</f>
        <v/>
      </c>
      <c r="G17" s="9">
        <f>IF(C17="SÍ","✅ Materia Aprobada",IF(B17="SÍ","⏳ Regular (Adeuda Final)","⚪ Pendiente"))</f>
        <v/>
      </c>
    </row>
    <row r="18" ht="20" customHeight="1">
      <c r="A18" s="11" t="inlineStr">
        <is>
          <t>Historia de la Filosofía Antigua</t>
        </is>
      </c>
      <c r="B18" s="9" t="inlineStr">
        <is>
          <t>NO</t>
        </is>
      </c>
      <c r="C18" s="9" t="inlineStr">
        <is>
          <t>NO</t>
        </is>
      </c>
      <c r="D18" s="16" t="inlineStr">
        <is>
          <t>Introducción a la Filosofía</t>
        </is>
      </c>
      <c r="E18" s="9">
        <f>IF(B18="SÍ","CURSADA REGULAR",IF(AND(B6="SÍ"),"¡HABILITADA!","Faltan correlat."))</f>
        <v/>
      </c>
      <c r="F18" s="9">
        <f>IF(C18="SÍ","APROBADA",IF(AND(B18="SÍ",AND(C6="SÍ")),"¡LISTO P/ FINAL!","Faltan finales prev."))</f>
        <v/>
      </c>
      <c r="G18" s="9">
        <f>IF(C18="SÍ","✅ Materia Aprobada",IF(B18="SÍ","⏳ Regular (Adeuda Final)","⚪ Pendiente"))</f>
        <v/>
      </c>
    </row>
    <row r="19" ht="20" customHeight="1">
      <c r="A19" s="8" t="inlineStr">
        <is>
          <t>Filosofía Argentina y Latinoamericana</t>
        </is>
      </c>
      <c r="B19" s="9" t="inlineStr">
        <is>
          <t>NO</t>
        </is>
      </c>
      <c r="C19" s="9" t="inlineStr">
        <is>
          <t>NO</t>
        </is>
      </c>
      <c r="D19" s="17" t="inlineStr">
        <is>
          <t>Introducción a la Filosofía</t>
        </is>
      </c>
      <c r="E19" s="9">
        <f>IF(B19="SÍ","CURSADA REGULAR",IF(AND(B6="SÍ"),"¡HABILITADA!","Faltan correlat."))</f>
        <v/>
      </c>
      <c r="F19" s="9">
        <f>IF(C19="SÍ","APROBADA",IF(AND(B19="SÍ",AND(C6="SÍ")),"¡LISTO P/ FINAL!","Faltan finales prev."))</f>
        <v/>
      </c>
      <c r="G19" s="9">
        <f>IF(C19="SÍ","✅ Materia Aprobada",IF(B19="SÍ","⏳ Regular (Adeuda Final)","⚪ Pendiente"))</f>
        <v/>
      </c>
    </row>
    <row r="20" ht="20" customHeight="1">
      <c r="A20" s="11" t="inlineStr">
        <is>
          <t>Historia del Arte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Sin correlativas previas</t>
        </is>
      </c>
      <c r="E20" s="9">
        <f>IF(B20="SÍ","CURSADA REGULAR","¡HABILITADA!")</f>
        <v/>
      </c>
      <c r="F20" s="9">
        <f>IF(C20="SÍ","APROBADA",IF(B20="SÍ","¡LISTO P/ FINAL!","Falta cursada"))</f>
        <v/>
      </c>
      <c r="G20" s="9">
        <f>IF(C20="SÍ","✅ Materia Aprobada",IF(B20="SÍ","⏳ Regular (Adeuda Final)","⚪ Pendiente"))</f>
        <v/>
      </c>
    </row>
    <row r="21" ht="20" customHeight="1">
      <c r="A21" s="8" t="inlineStr">
        <is>
          <t>Metodología de la Investigación</t>
        </is>
      </c>
      <c r="B21" s="9" t="inlineStr">
        <is>
          <t>NO</t>
        </is>
      </c>
      <c r="C21" s="9" t="inlineStr">
        <is>
          <t>NO</t>
        </is>
      </c>
      <c r="D21" s="17" t="inlineStr">
        <is>
          <t>Lógica 1 y Teoría de la Argumentación</t>
        </is>
      </c>
      <c r="E21" s="9">
        <f>IF(B21="SÍ","CURSADA REGULAR",IF(AND(B5="SÍ"),"¡HABILITADA!","Faltan correlat."))</f>
        <v/>
      </c>
      <c r="F21" s="9">
        <f>IF(C21="SÍ","APROBADA",IF(AND(B21="SÍ",AND(C5="SÍ")),"¡LISTO P/ FINAL!","Faltan finales prev."))</f>
        <v/>
      </c>
      <c r="G21" s="9">
        <f>IF(C21="SÍ","✅ Materia Aprobada",IF(B21="SÍ","⏳ Regular (Adeuda Final)","⚪ Pendiente"))</f>
        <v/>
      </c>
    </row>
    <row r="22" ht="20" customHeight="1">
      <c r="A22" s="11" t="inlineStr">
        <is>
          <t>Nuevas Tecnologías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Sin correlativas previas</t>
        </is>
      </c>
      <c r="E22" s="9">
        <f>IF(B22="SÍ","CURSADA REGULAR","¡HABILITADA!")</f>
        <v/>
      </c>
      <c r="F22" s="9">
        <f>IF(C22="SÍ","APROBADA",IF(B22="SÍ","¡LISTO P/ FINAL!","Falta cursada"))</f>
        <v/>
      </c>
      <c r="G22" s="9">
        <f>IF(C22="SÍ","✅ Materia Aprobada",IF(B22="SÍ","⏳ Regular (Adeuda Final)","⚪ Pendiente"))</f>
        <v/>
      </c>
    </row>
    <row r="23" ht="20" customHeight="1">
      <c r="A23" s="8" t="inlineStr">
        <is>
          <t>LEO 2</t>
        </is>
      </c>
      <c r="B23" s="9" t="inlineStr">
        <is>
          <t>NO</t>
        </is>
      </c>
      <c r="C23" s="9" t="inlineStr">
        <is>
          <t>NO</t>
        </is>
      </c>
      <c r="D23" s="17" t="inlineStr">
        <is>
          <t>LEO 1 (Lectura y Escritura Académica)</t>
        </is>
      </c>
      <c r="E23" s="9">
        <f>IF(B23="SÍ","CURSADA REGULAR",IF(AND(B11="SÍ"),"¡HABILITADA!","Faltan correlat."))</f>
        <v/>
      </c>
      <c r="F23" s="9">
        <f>IF(C23="SÍ","APROBADA",IF(AND(B23="SÍ",AND(C11="SÍ")),"¡LISTO P/ FINAL!","Faltan finales prev."))</f>
        <v/>
      </c>
      <c r="G23" s="9">
        <f>IF(C23="SÍ","✅ Materia Aprobada",IF(B23="SÍ","⏳ Regular (Adeuda Final)","⚪ Pendiente"))</f>
        <v/>
      </c>
    </row>
    <row r="24" ht="20" customHeight="1">
      <c r="A24" s="11" t="inlineStr">
        <is>
          <t>Trabajo de Campo 2</t>
        </is>
      </c>
      <c r="B24" s="9" t="inlineStr">
        <is>
          <t>NO</t>
        </is>
      </c>
      <c r="C24" s="9" t="inlineStr">
        <is>
          <t>NO</t>
        </is>
      </c>
      <c r="D24" s="16" t="inlineStr">
        <is>
          <t>Trabajo de Campo 1</t>
        </is>
      </c>
      <c r="E24" s="9">
        <f>IF(B24="SÍ","CURSADA REGULAR",IF(AND(B12="SÍ"),"¡HABILITADA!","Faltan correlat."))</f>
        <v/>
      </c>
      <c r="F24" s="9">
        <f>IF(C24="SÍ","APROBADA",IF(AND(B24="SÍ",AND(C12="SÍ")),"¡LISTO P/ FINAL!","Faltan finales prev."))</f>
        <v/>
      </c>
      <c r="G24" s="9">
        <f>IF(C24="SÍ","✅ Materia Aprobada",IF(B24="SÍ","⏳ Regular (Adeuda Final)","⚪ Pendiente"))</f>
        <v/>
      </c>
    </row>
    <row r="25" ht="24" customHeight="1">
      <c r="A25" s="5" t="inlineStr">
        <is>
          <t>📌 TERCER AÑO</t>
        </is>
      </c>
    </row>
    <row r="26" ht="20" customHeight="1">
      <c r="A26" s="11" t="inlineStr">
        <is>
          <t>Lógica 2</t>
        </is>
      </c>
      <c r="B26" s="9" t="inlineStr">
        <is>
          <t>NO</t>
        </is>
      </c>
      <c r="C26" s="9" t="inlineStr">
        <is>
          <t>NO</t>
        </is>
      </c>
      <c r="D26" s="16" t="inlineStr">
        <is>
          <t>Lógica 1 y Teoría de la Argumentación</t>
        </is>
      </c>
      <c r="E26" s="9">
        <f>IF(B26="SÍ","CURSADA REGULAR",IF(AND(B5="SÍ"),"¡HABILITADA!","Faltan correlat."))</f>
        <v/>
      </c>
      <c r="F26" s="9">
        <f>IF(C26="SÍ","APROBADA",IF(AND(B26="SÍ",AND(C5="SÍ")),"¡LISTO P/ FINAL!","Faltan finales prev."))</f>
        <v/>
      </c>
      <c r="G26" s="9">
        <f>IF(C26="SÍ","✅ Materia Aprobada",IF(B26="SÍ","⏳ Regular (Adeuda Final)","⚪ Pendiente"))</f>
        <v/>
      </c>
    </row>
    <row r="27" ht="20" customHeight="1">
      <c r="A27" s="8" t="inlineStr">
        <is>
          <t>Filosofía de la Lógica</t>
        </is>
      </c>
      <c r="B27" s="9" t="inlineStr">
        <is>
          <t>NO</t>
        </is>
      </c>
      <c r="C27" s="9" t="inlineStr">
        <is>
          <t>NO</t>
        </is>
      </c>
      <c r="D27" s="17" t="inlineStr">
        <is>
          <t>Lógica 1 y Teoría de la Argumentación</t>
        </is>
      </c>
      <c r="E27" s="9">
        <f>IF(B27="SÍ","CURSADA REGULAR",IF(AND(B5="SÍ"),"¡HABILITADA!","Faltan correlat."))</f>
        <v/>
      </c>
      <c r="F27" s="9">
        <f>IF(C27="SÍ","APROBADA",IF(AND(B27="SÍ",AND(C5="SÍ")),"¡LISTO P/ FINAL!","Faltan finales prev."))</f>
        <v/>
      </c>
      <c r="G27" s="9">
        <f>IF(C27="SÍ","✅ Materia Aprobada",IF(B27="SÍ","⏳ Regular (Adeuda Final)","⚪ Pendiente"))</f>
        <v/>
      </c>
    </row>
    <row r="28" ht="20" customHeight="1">
      <c r="A28" s="11" t="inlineStr">
        <is>
          <t>Historia de la Filosofía Medieval</t>
        </is>
      </c>
      <c r="B28" s="9" t="inlineStr">
        <is>
          <t>NO</t>
        </is>
      </c>
      <c r="C28" s="9" t="inlineStr">
        <is>
          <t>NO</t>
        </is>
      </c>
      <c r="D28" s="16" t="inlineStr">
        <is>
          <t>Historia de la Filosofía Antigua</t>
        </is>
      </c>
      <c r="E28" s="9">
        <f>IF(B28="SÍ","CURSADA REGULAR",IF(AND(B18="SÍ"),"¡HABILITADA!","Faltan correlat."))</f>
        <v/>
      </c>
      <c r="F28" s="9">
        <f>IF(C28="SÍ","APROBADA",IF(AND(B28="SÍ",AND(C18="SÍ")),"¡LISTO P/ FINAL!","Faltan finales prev."))</f>
        <v/>
      </c>
      <c r="G28" s="9">
        <f>IF(C28="SÍ","✅ Materia Aprobada",IF(B28="SÍ","⏳ Regular (Adeuda Final)","⚪ Pendiente"))</f>
        <v/>
      </c>
    </row>
    <row r="29" ht="20" customHeight="1">
      <c r="A29" s="8" t="inlineStr">
        <is>
          <t>Metafísica</t>
        </is>
      </c>
      <c r="B29" s="9" t="inlineStr">
        <is>
          <t>NO</t>
        </is>
      </c>
      <c r="C29" s="9" t="inlineStr">
        <is>
          <t>NO</t>
        </is>
      </c>
      <c r="D29" s="17" t="inlineStr">
        <is>
          <t>Historia de la Filosofía Antigua</t>
        </is>
      </c>
      <c r="E29" s="9">
        <f>IF(B29="SÍ","CURSADA REGULAR",IF(AND(B18="SÍ"),"¡HABILITADA!","Faltan correlat."))</f>
        <v/>
      </c>
      <c r="F29" s="9">
        <f>IF(C29="SÍ","APROBADA",IF(AND(B29="SÍ",AND(C18="SÍ")),"¡LISTO P/ FINAL!","Faltan finales prev."))</f>
        <v/>
      </c>
      <c r="G29" s="9">
        <f>IF(C29="SÍ","✅ Materia Aprobada",IF(B29="SÍ","⏳ Regular (Adeuda Final)","⚪ Pendiente"))</f>
        <v/>
      </c>
    </row>
    <row r="30" ht="20" customHeight="1">
      <c r="A30" s="11" t="inlineStr">
        <is>
          <t>Historia de la Ciencia</t>
        </is>
      </c>
      <c r="B30" s="9" t="inlineStr">
        <is>
          <t>NO</t>
        </is>
      </c>
      <c r="C30" s="9" t="inlineStr">
        <is>
          <t>NO</t>
        </is>
      </c>
      <c r="D30" s="16" t="inlineStr">
        <is>
          <t>Metodología de la Investigación</t>
        </is>
      </c>
      <c r="E30" s="9">
        <f>IF(B30="SÍ","CURSADA REGULAR",IF(AND(B21="SÍ"),"¡HABILITADA!","Faltan correlat."))</f>
        <v/>
      </c>
      <c r="F30" s="9">
        <f>IF(C30="SÍ","APROBADA",IF(AND(B30="SÍ",AND(C21="SÍ")),"¡LISTO P/ FINAL!","Faltan finales prev."))</f>
        <v/>
      </c>
      <c r="G30" s="9">
        <f>IF(C30="SÍ","✅ Materia Aprobada",IF(B30="SÍ","⏳ Regular (Adeuda Final)","⚪ Pendiente"))</f>
        <v/>
      </c>
    </row>
    <row r="31" ht="20" customHeight="1">
      <c r="A31" s="8" t="inlineStr">
        <is>
          <t>Trabajo de Campo 3</t>
        </is>
      </c>
      <c r="B31" s="9" t="inlineStr">
        <is>
          <t>NO</t>
        </is>
      </c>
      <c r="C31" s="9" t="inlineStr">
        <is>
          <t>NO</t>
        </is>
      </c>
      <c r="D31" s="17" t="inlineStr">
        <is>
          <t>Trabajo de Campo 2</t>
        </is>
      </c>
      <c r="E31" s="9">
        <f>IF(B31="SÍ","CURSADA REGULAR",IF(AND(B24="SÍ"),"¡HABILITADA!","Faltan correlat."))</f>
        <v/>
      </c>
      <c r="F31" s="9">
        <f>IF(C31="SÍ","APROBADA",IF(AND(B31="SÍ",AND(C24="SÍ")),"¡LISTO P/ FINAL!","Faltan finales prev."))</f>
        <v/>
      </c>
      <c r="G31" s="9">
        <f>IF(C31="SÍ","✅ Materia Aprobada",IF(B31="SÍ","⏳ Regular (Adeuda Final)","⚪ Pendiente"))</f>
        <v/>
      </c>
    </row>
    <row r="32" ht="20" customHeight="1">
      <c r="A32" s="11" t="inlineStr">
        <is>
          <t>Taller de Didáctica de la Filosofía y Prod. Materiales</t>
        </is>
      </c>
      <c r="B32" s="9" t="inlineStr">
        <is>
          <t>NO</t>
        </is>
      </c>
      <c r="C32" s="9" t="inlineStr">
        <is>
          <t>NO</t>
        </is>
      </c>
      <c r="D32" s="16" t="inlineStr">
        <is>
          <t>Didáctica General</t>
        </is>
      </c>
      <c r="E32" s="9">
        <f>IF(B32="SÍ","CURSADA REGULAR",IF(AND(B16="SÍ"),"¡HABILITADA!","Faltan correlat."))</f>
        <v/>
      </c>
      <c r="F32" s="9">
        <f>IF(C32="SÍ","APROBADA",IF(AND(B32="SÍ",AND(C16="SÍ")),"¡LISTO P/ FINAL!","Faltan finales prev."))</f>
        <v/>
      </c>
      <c r="G32" s="9">
        <f>IF(C32="SÍ","✅ Materia Aprobada",IF(B32="SÍ","⏳ Regular (Adeuda Final)","⚪ Pendiente"))</f>
        <v/>
      </c>
    </row>
    <row r="33" ht="20" customHeight="1">
      <c r="A33" s="8" t="inlineStr">
        <is>
          <t>Sistema y Política Educativa</t>
        </is>
      </c>
      <c r="B33" s="9" t="inlineStr">
        <is>
          <t>NO</t>
        </is>
      </c>
      <c r="C33" s="9" t="inlineStr">
        <is>
          <t>NO</t>
        </is>
      </c>
      <c r="D33" s="17" t="inlineStr">
        <is>
          <t>Historia de la Educación Argentina</t>
        </is>
      </c>
      <c r="E33" s="9">
        <f>IF(B33="SÍ","CURSADA REGULAR",IF(AND(B17="SÍ"),"¡HABILITADA!","Faltan correlat."))</f>
        <v/>
      </c>
      <c r="F33" s="9">
        <f>IF(C33="SÍ","APROBADA",IF(AND(B33="SÍ",AND(C17="SÍ")),"¡LISTO P/ FINAL!","Faltan finales prev."))</f>
        <v/>
      </c>
      <c r="G33" s="9">
        <f>IF(C33="SÍ","✅ Materia Aprobada",IF(B33="SÍ","⏳ Regular (Adeuda Final)","⚪ Pendiente"))</f>
        <v/>
      </c>
    </row>
    <row r="34" ht="20" customHeight="1">
      <c r="A34" s="11" t="inlineStr">
        <is>
          <t>Taller Filosofía y Educación</t>
        </is>
      </c>
      <c r="B34" s="9" t="inlineStr">
        <is>
          <t>NO</t>
        </is>
      </c>
      <c r="C34" s="9" t="inlineStr">
        <is>
          <t>NO</t>
        </is>
      </c>
      <c r="D34" s="16" t="inlineStr">
        <is>
          <t>Historia de la Filosofía Antigua</t>
        </is>
      </c>
      <c r="E34" s="9">
        <f>IF(B34="SÍ","CURSADA REGULAR",IF(AND(B18="SÍ"),"¡HABILITADA!","Faltan correlat."))</f>
        <v/>
      </c>
      <c r="F34" s="9">
        <f>IF(C34="SÍ","APROBADA",IF(AND(B34="SÍ",AND(C18="SÍ")),"¡LISTO P/ FINAL!","Faltan finales prev."))</f>
        <v/>
      </c>
      <c r="G34" s="9">
        <f>IF(C34="SÍ","✅ Materia Aprobada",IF(B34="SÍ","⏳ Regular (Adeuda Final)","⚪ Pendiente"))</f>
        <v/>
      </c>
    </row>
    <row r="35" ht="20" customHeight="1">
      <c r="A35" s="8" t="inlineStr">
        <is>
          <t>Teoría del Conocimiento</t>
        </is>
      </c>
      <c r="B35" s="9" t="inlineStr">
        <is>
          <t>NO</t>
        </is>
      </c>
      <c r="C35" s="9" t="inlineStr">
        <is>
          <t>NO</t>
        </is>
      </c>
      <c r="D35" s="17" t="inlineStr">
        <is>
          <t>Historia de la Filosofía Antigua</t>
        </is>
      </c>
      <c r="E35" s="9">
        <f>IF(B35="SÍ","CURSADA REGULAR",IF(AND(B18="SÍ"),"¡HABILITADA!","Faltan correlat."))</f>
        <v/>
      </c>
      <c r="F35" s="9">
        <f>IF(C35="SÍ","APROBADA",IF(AND(B35="SÍ",AND(C18="SÍ")),"¡LISTO P/ FINAL!","Faltan finales prev."))</f>
        <v/>
      </c>
      <c r="G35" s="9">
        <f>IF(C35="SÍ","✅ Materia Aprobada",IF(B35="SÍ","⏳ Regular (Adeuda Final)","⚪ Pendiente"))</f>
        <v/>
      </c>
    </row>
    <row r="36" ht="20" customHeight="1">
      <c r="A36" s="11" t="inlineStr">
        <is>
          <t>Ética</t>
        </is>
      </c>
      <c r="B36" s="9" t="inlineStr">
        <is>
          <t>NO</t>
        </is>
      </c>
      <c r="C36" s="9" t="inlineStr">
        <is>
          <t>NO</t>
        </is>
      </c>
      <c r="D36" s="16" t="inlineStr">
        <is>
          <t>Introducción a la Filosofía</t>
        </is>
      </c>
      <c r="E36" s="9">
        <f>IF(B36="SÍ","CURSADA REGULAR",IF(AND(B6="SÍ"),"¡HABILITADA!","Faltan correlat."))</f>
        <v/>
      </c>
      <c r="F36" s="9">
        <f>IF(C36="SÍ","APROBADA",IF(AND(B36="SÍ",AND(C6="SÍ")),"¡LISTO P/ FINAL!","Faltan finales prev."))</f>
        <v/>
      </c>
      <c r="G36" s="9">
        <f>IF(C36="SÍ","✅ Materia Aprobada",IF(B36="SÍ","⏳ Regular (Adeuda Final)","⚪ Pendiente"))</f>
        <v/>
      </c>
    </row>
    <row r="37" ht="24" customHeight="1">
      <c r="A37" s="5" t="inlineStr">
        <is>
          <t>📌 CUARTO AÑO</t>
        </is>
      </c>
    </row>
    <row r="38" ht="20" customHeight="1">
      <c r="A38" s="11" t="inlineStr">
        <is>
          <t>Historia de la Filosofía Moderna</t>
        </is>
      </c>
      <c r="B38" s="9" t="inlineStr">
        <is>
          <t>NO</t>
        </is>
      </c>
      <c r="C38" s="9" t="inlineStr">
        <is>
          <t>NO</t>
        </is>
      </c>
      <c r="D38" s="16" t="inlineStr">
        <is>
          <t>Historia de la Filosofía Medieval</t>
        </is>
      </c>
      <c r="E38" s="9">
        <f>IF(B38="SÍ","CURSADA REGULAR",IF(AND(B28="SÍ"),"¡HABILITADA!","Faltan correlat."))</f>
        <v/>
      </c>
      <c r="F38" s="9">
        <f>IF(C38="SÍ","APROBADA",IF(AND(B38="SÍ",AND(C28="SÍ")),"¡LISTO P/ FINAL!","Faltan finales prev."))</f>
        <v/>
      </c>
      <c r="G38" s="9">
        <f>IF(C38="SÍ","✅ Materia Aprobada",IF(B38="SÍ","⏳ Regular (Adeuda Final)","⚪ Pendiente"))</f>
        <v/>
      </c>
    </row>
    <row r="39" ht="20" customHeight="1">
      <c r="A39" s="8" t="inlineStr">
        <is>
          <t>Filosofía Política</t>
        </is>
      </c>
      <c r="B39" s="9" t="inlineStr">
        <is>
          <t>NO</t>
        </is>
      </c>
      <c r="C39" s="9" t="inlineStr">
        <is>
          <t>NO</t>
        </is>
      </c>
      <c r="D39" s="17" t="inlineStr">
        <is>
          <t>Filosofía Argentina y Latinoamericana, Ética</t>
        </is>
      </c>
      <c r="E39" s="9">
        <f>IF(B39="SÍ","CURSADA REGULAR",IF(AND(B19="SÍ",B36="SÍ"),"¡HABILITADA!","Faltan correlat."))</f>
        <v/>
      </c>
      <c r="F39" s="9">
        <f>IF(C39="SÍ","APROBADA",IF(AND(B39="SÍ",AND(C19="SÍ",C36="SÍ")),"¡LISTO P/ FINAL!","Faltan finales prev."))</f>
        <v/>
      </c>
      <c r="G39" s="9">
        <f>IF(C39="SÍ","✅ Materia Aprobada",IF(B39="SÍ","⏳ Regular (Adeuda Final)","⚪ Pendiente"))</f>
        <v/>
      </c>
    </row>
    <row r="40" ht="20" customHeight="1">
      <c r="A40" s="11" t="inlineStr">
        <is>
          <t>Filosofía del Lenguaje</t>
        </is>
      </c>
      <c r="B40" s="9" t="inlineStr">
        <is>
          <t>NO</t>
        </is>
      </c>
      <c r="C40" s="9" t="inlineStr">
        <is>
          <t>NO</t>
        </is>
      </c>
      <c r="D40" s="16" t="inlineStr">
        <is>
          <t>Filosofía de la Lógica</t>
        </is>
      </c>
      <c r="E40" s="9">
        <f>IF(B40="SÍ","CURSADA REGULAR",IF(AND(B27="SÍ"),"¡HABILITADA!","Faltan correlat."))</f>
        <v/>
      </c>
      <c r="F40" s="9">
        <f>IF(C40="SÍ","APROBADA",IF(AND(B40="SÍ",AND(C27="SÍ")),"¡LISTO P/ FINAL!","Faltan finales prev."))</f>
        <v/>
      </c>
      <c r="G40" s="9">
        <f>IF(C40="SÍ","✅ Materia Aprobada",IF(B40="SÍ","⏳ Regular (Adeuda Final)","⚪ Pendiente"))</f>
        <v/>
      </c>
    </row>
    <row r="41" ht="20" customHeight="1">
      <c r="A41" s="8" t="inlineStr">
        <is>
          <t>Antropología Filosófica</t>
        </is>
      </c>
      <c r="B41" s="9" t="inlineStr">
        <is>
          <t>NO</t>
        </is>
      </c>
      <c r="C41" s="9" t="inlineStr">
        <is>
          <t>NO</t>
        </is>
      </c>
      <c r="D41" s="17" t="inlineStr">
        <is>
          <t>Historia de la Filosofía Antigua</t>
        </is>
      </c>
      <c r="E41" s="9">
        <f>IF(B41="SÍ","CURSADA REGULAR",IF(AND(B18="SÍ"),"¡HABILITADA!","Faltan correlat."))</f>
        <v/>
      </c>
      <c r="F41" s="9">
        <f>IF(C41="SÍ","APROBADA",IF(AND(B41="SÍ",AND(C18="SÍ")),"¡LISTO P/ FINAL!","Faltan finales prev."))</f>
        <v/>
      </c>
      <c r="G41" s="9">
        <f>IF(C41="SÍ","✅ Materia Aprobada",IF(B41="SÍ","⏳ Regular (Adeuda Final)","⚪ Pendiente"))</f>
        <v/>
      </c>
    </row>
    <row r="42" ht="20" customHeight="1">
      <c r="A42" s="11" t="inlineStr">
        <is>
          <t>Estética</t>
        </is>
      </c>
      <c r="B42" s="9" t="inlineStr">
        <is>
          <t>NO</t>
        </is>
      </c>
      <c r="C42" s="9" t="inlineStr">
        <is>
          <t>NO</t>
        </is>
      </c>
      <c r="D42" s="16" t="inlineStr">
        <is>
          <t>Historia del Arte</t>
        </is>
      </c>
      <c r="E42" s="9">
        <f>IF(B42="SÍ","CURSADA REGULAR",IF(AND(B20="SÍ"),"¡HABILITADA!","Faltan correlat."))</f>
        <v/>
      </c>
      <c r="F42" s="9">
        <f>IF(C42="SÍ","APROBADA",IF(AND(B42="SÍ",AND(C20="SÍ")),"¡LISTO P/ FINAL!","Faltan finales prev."))</f>
        <v/>
      </c>
      <c r="G42" s="9">
        <f>IF(C42="SÍ","✅ Materia Aprobada",IF(B42="SÍ","⏳ Regular (Adeuda Final)","⚪ Pendiente"))</f>
        <v/>
      </c>
    </row>
    <row r="43" ht="20" customHeight="1">
      <c r="A43" s="8" t="inlineStr">
        <is>
          <t>Práctica Docente 1</t>
        </is>
      </c>
      <c r="B43" s="9" t="inlineStr">
        <is>
          <t>NO</t>
        </is>
      </c>
      <c r="C43" s="9" t="inlineStr">
        <is>
          <t>NO</t>
        </is>
      </c>
      <c r="D43" s="17" t="inlineStr">
        <is>
          <t>Taller de Didáctica de la Filosofía y Prod. Materiales, Trabajo de Campo 3</t>
        </is>
      </c>
      <c r="E43" s="9">
        <f>IF(B43="SÍ","CURSADA REGULAR",IF(AND(B32="SÍ",B31="SÍ"),"¡HABILITADA!","Faltan correlat."))</f>
        <v/>
      </c>
      <c r="F43" s="9">
        <f>IF(C43="SÍ","APROBADA",IF(AND(B43="SÍ",AND(C32="SÍ",C31="SÍ")),"¡LISTO P/ FINAL!","Faltan finales prev."))</f>
        <v/>
      </c>
      <c r="G43" s="9">
        <f>IF(C43="SÍ","✅ Materia Aprobada",IF(B43="SÍ","⏳ Regular (Adeuda Final)","⚪ Pendiente"))</f>
        <v/>
      </c>
    </row>
    <row r="44" ht="24" customHeight="1">
      <c r="A44" s="5" t="inlineStr">
        <is>
          <t>📌 QUINTO AÑO</t>
        </is>
      </c>
    </row>
    <row r="45" ht="20" customHeight="1">
      <c r="A45" s="8" t="inlineStr">
        <is>
          <t>Historia de la Filosofía Contemporánea</t>
        </is>
      </c>
      <c r="B45" s="9" t="inlineStr">
        <is>
          <t>NO</t>
        </is>
      </c>
      <c r="C45" s="9" t="inlineStr">
        <is>
          <t>NO</t>
        </is>
      </c>
      <c r="D45" s="17" t="inlineStr">
        <is>
          <t>Historia de la Filosofía Moderna</t>
        </is>
      </c>
      <c r="E45" s="9">
        <f>IF(B45="SÍ","CURSADA REGULAR",IF(AND(B38="SÍ"),"¡HABILITADA!","Faltan correlat."))</f>
        <v/>
      </c>
      <c r="F45" s="9">
        <f>IF(C45="SÍ","APROBADA",IF(AND(B45="SÍ",AND(C38="SÍ")),"¡LISTO P/ FINAL!","Faltan finales prev."))</f>
        <v/>
      </c>
      <c r="G45" s="9">
        <f>IF(C45="SÍ","✅ Materia Aprobada",IF(B45="SÍ","⏳ Regular (Adeuda Final)","⚪ Pendiente"))</f>
        <v/>
      </c>
    </row>
    <row r="46" ht="20" customHeight="1">
      <c r="A46" s="11" t="inlineStr">
        <is>
          <t>Filosofía del Derecho</t>
        </is>
      </c>
      <c r="B46" s="9" t="inlineStr">
        <is>
          <t>NO</t>
        </is>
      </c>
      <c r="C46" s="9" t="inlineStr">
        <is>
          <t>NO</t>
        </is>
      </c>
      <c r="D46" s="16" t="inlineStr">
        <is>
          <t>Filosofía Política</t>
        </is>
      </c>
      <c r="E46" s="9">
        <f>IF(B46="SÍ","CURSADA REGULAR",IF(AND(B39="SÍ"),"¡HABILITADA!","Faltan correlat."))</f>
        <v/>
      </c>
      <c r="F46" s="9">
        <f>IF(C46="SÍ","APROBADA",IF(AND(B46="SÍ",AND(C39="SÍ")),"¡LISTO P/ FINAL!","Faltan finales prev."))</f>
        <v/>
      </c>
      <c r="G46" s="9">
        <f>IF(C46="SÍ","✅ Materia Aprobada",IF(B46="SÍ","⏳ Regular (Adeuda Final)","⚪ Pendiente"))</f>
        <v/>
      </c>
    </row>
    <row r="47" ht="20" customHeight="1">
      <c r="A47" s="8" t="inlineStr">
        <is>
          <t>Filosofía de la Religión</t>
        </is>
      </c>
      <c r="B47" s="9" t="inlineStr">
        <is>
          <t>NO</t>
        </is>
      </c>
      <c r="C47" s="9" t="inlineStr">
        <is>
          <t>NO</t>
        </is>
      </c>
      <c r="D47" s="17" t="inlineStr">
        <is>
          <t>Historia de la Filosofía Medieval</t>
        </is>
      </c>
      <c r="E47" s="9">
        <f>IF(B47="SÍ","CURSADA REGULAR",IF(AND(B28="SÍ"),"¡HABILITADA!","Faltan correlat."))</f>
        <v/>
      </c>
      <c r="F47" s="9">
        <f>IF(C47="SÍ","APROBADA",IF(AND(B47="SÍ",AND(C28="SÍ")),"¡LISTO P/ FINAL!","Faltan finales prev."))</f>
        <v/>
      </c>
      <c r="G47" s="9">
        <f>IF(C47="SÍ","✅ Materia Aprobada",IF(B47="SÍ","⏳ Regular (Adeuda Final)","⚪ Pendiente"))</f>
        <v/>
      </c>
    </row>
    <row r="48" ht="20" customHeight="1">
      <c r="A48" s="11" t="inlineStr">
        <is>
          <t>Filosofía de la Historia</t>
        </is>
      </c>
      <c r="B48" s="9" t="inlineStr">
        <is>
          <t>NO</t>
        </is>
      </c>
      <c r="C48" s="9" t="inlineStr">
        <is>
          <t>NO</t>
        </is>
      </c>
      <c r="D48" s="16" t="inlineStr">
        <is>
          <t>Historia de la Filosofía Moderna</t>
        </is>
      </c>
      <c r="E48" s="9">
        <f>IF(B48="SÍ","CURSADA REGULAR",IF(AND(B38="SÍ"),"¡HABILITADA!","Faltan correlat."))</f>
        <v/>
      </c>
      <c r="F48" s="9">
        <f>IF(C48="SÍ","APROBADA",IF(AND(B48="SÍ",AND(C38="SÍ")),"¡LISTO P/ FINAL!","Faltan finales prev."))</f>
        <v/>
      </c>
      <c r="G48" s="9">
        <f>IF(C48="SÍ","✅ Materia Aprobada",IF(B48="SÍ","⏳ Regular (Adeuda Final)","⚪ Pendiente"))</f>
        <v/>
      </c>
    </row>
    <row r="49" ht="20" customHeight="1">
      <c r="A49" s="8" t="inlineStr">
        <is>
          <t>Filosofía de la Ciencia</t>
        </is>
      </c>
      <c r="B49" s="9" t="inlineStr">
        <is>
          <t>NO</t>
        </is>
      </c>
      <c r="C49" s="9" t="inlineStr">
        <is>
          <t>NO</t>
        </is>
      </c>
      <c r="D49" s="17" t="inlineStr">
        <is>
          <t>Historia de la Ciencia, Teoría del Conocimiento</t>
        </is>
      </c>
      <c r="E49" s="9">
        <f>IF(B49="SÍ","CURSADA REGULAR",IF(AND(B30="SÍ",B35="SÍ"),"¡HABILITADA!","Faltan correlat."))</f>
        <v/>
      </c>
      <c r="F49" s="9">
        <f>IF(C49="SÍ","APROBADA",IF(AND(B49="SÍ",AND(C30="SÍ",C35="SÍ")),"¡LISTO P/ FINAL!","Faltan finales prev."))</f>
        <v/>
      </c>
      <c r="G49" s="9">
        <f>IF(C49="SÍ","✅ Materia Aprobada",IF(B49="SÍ","⏳ Regular (Adeuda Final)","⚪ Pendiente"))</f>
        <v/>
      </c>
    </row>
    <row r="50" ht="20" customHeight="1">
      <c r="A50" s="11" t="inlineStr">
        <is>
          <t>Práctica Docente 2 y Residencia</t>
        </is>
      </c>
      <c r="B50" s="9" t="inlineStr">
        <is>
          <t>NO</t>
        </is>
      </c>
      <c r="C50" s="9" t="inlineStr">
        <is>
          <t>NO</t>
        </is>
      </c>
      <c r="D50" s="16" t="inlineStr">
        <is>
          <t>Práctica Docente 1</t>
        </is>
      </c>
      <c r="E50" s="9">
        <f>IF(B50="SÍ","CURSADA REGULAR",IF(AND(B43="SÍ"),"¡HABILITADA!","Faltan correlat."))</f>
        <v/>
      </c>
      <c r="F50" s="9">
        <f>IF(C50="SÍ","APROBADA",IF(AND(B50="SÍ",AND(C43="SÍ")),"¡LISTO P/ FINAL!","Faltan finales prev."))</f>
        <v/>
      </c>
      <c r="G50" s="9">
        <f>IF(C50="SÍ","✅ Materia Aprobada",IF(B50="SÍ","⏳ Regular (Adeuda Final)","⚪ Pendiente"))</f>
        <v/>
      </c>
    </row>
  </sheetData>
  <mergeCells count="14">
    <mergeCell ref="I14:J14"/>
    <mergeCell ref="A44:G44"/>
    <mergeCell ref="I12:J12"/>
    <mergeCell ref="A1:G1"/>
    <mergeCell ref="I16:J16"/>
    <mergeCell ref="I3:J3"/>
    <mergeCell ref="I15:J15"/>
    <mergeCell ref="A4:G4"/>
    <mergeCell ref="I11:J11"/>
    <mergeCell ref="A2:G2"/>
    <mergeCell ref="A15:G15"/>
    <mergeCell ref="I13:J13"/>
    <mergeCell ref="A25:G25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2026-08-28T18:30:37Z</dcterms:created>
  <dcterms:modified xmlns:dcterms="http://purl.org/dc/terms/" xmlns:xsi="http://www.w3.org/2001/XMLSchema-instance" xsi:type="dcterms:W3CDTF">2026-08-28T18:30:37Z</dcterms:modified>
</cp:coreProperties>
</file>