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0"/>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FILOSOFÍA</t>
        </is>
      </c>
      <c r="I1" s="2" t="inlineStr">
        <is>
          <t>CONTROL DE TRAYECTORIA</t>
        </is>
      </c>
    </row>
    <row r="2" ht="22" customHeight="1">
      <c r="A2" s="3" t="inlineStr">
        <is>
          <t>La Caravana + Estudiantes Independientes | Altillo JVG - ISP Joaquín V. González</t>
        </is>
      </c>
      <c r="I2" s="4" t="inlineStr">
        <is>
          <t>Total de Materias del Plan</t>
        </is>
      </c>
      <c r="J2" s="5" t="n">
        <v>41</v>
      </c>
    </row>
    <row r="3" ht="22" customHeight="1">
      <c r="I3" s="4" t="inlineStr">
        <is>
          <t>Materias con Cursada Regular</t>
        </is>
      </c>
      <c r="J3" s="5">
        <f>COUNTIF(B6:B50,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COUNTIF(C6:C50, "SI")</f>
        <v/>
      </c>
    </row>
    <row r="5" ht="22" customHeight="1">
      <c r="A5" s="7" t="inlineStr">
        <is>
          <t>📌 1° AÑO</t>
        </is>
      </c>
      <c r="I5" s="4" t="inlineStr">
        <is>
          <t>Finales Adeudados</t>
        </is>
      </c>
      <c r="J5" s="5">
        <f>COUNTIF(F6:F50, "ADEUDA FINAL")</f>
        <v/>
      </c>
    </row>
    <row r="6" ht="22" customHeight="1">
      <c r="A6" s="8" t="inlineStr">
        <is>
          <t>Lógica 1 y teoría de la argumentación</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COUNTIF(B6:B50, "SI")/41</f>
        <v/>
      </c>
    </row>
    <row r="7" ht="22" customHeight="1">
      <c r="A7" s="8" t="inlineStr">
        <is>
          <t>Introducción a la filosofía</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COUNTIF(C6:C50, "SI")/41</f>
        <v/>
      </c>
    </row>
    <row r="8" ht="20" customHeight="1">
      <c r="A8" s="8" t="inlineStr">
        <is>
          <t>Psicología educacional</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Psicología del desarrollo</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Sociología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Pedagogía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Lectura, Escritura y Oralidad I (LEO 1)</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Trabajo de Campo I</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Esi</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Lengua extranjera</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2" customHeight="1">
      <c r="A16" s="7" t="inlineStr">
        <is>
          <t>📌 2° AÑO</t>
        </is>
      </c>
    </row>
    <row r="17" ht="20" customHeight="1">
      <c r="A17" s="8" t="inlineStr">
        <is>
          <t>Didáctica general</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Historia de la Educación Argentina</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Historia de la filosofía antigua</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Filosofía Argentina y Latinoamericana</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Historia del arte</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Metodología de la investigación</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Nuevas tecnologias</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Lectura, Escritura y Oralidad II (LEO 2)</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Trabajo de Campo II</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2" customHeight="1">
      <c r="A26" s="7" t="inlineStr">
        <is>
          <t>📌 3° AÑO</t>
        </is>
      </c>
    </row>
    <row r="27" ht="20" customHeight="1">
      <c r="A27" s="8" t="inlineStr">
        <is>
          <t>Logica 2</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Filosofía de la logica</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Historia de la filosofia medieval</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Metafisica</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Historia de la ciencia</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Trabajo de Campo III</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Sistema y política educativa</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Taller filosofía y educación</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Teoría del conocimiento</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Etica</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2" customHeight="1">
      <c r="A37" s="7" t="inlineStr">
        <is>
          <t>📌 TRAMO SUPERIOR / SEMINARIOS</t>
        </is>
      </c>
    </row>
    <row r="38" ht="20" customHeight="1">
      <c r="A38" s="8" t="inlineStr">
        <is>
          <t>Filosofia del lenguaje</t>
        </is>
      </c>
      <c r="B38" s="9" t="inlineStr">
        <is>
          <t>NO</t>
        </is>
      </c>
      <c r="C38" s="9" t="inlineStr">
        <is>
          <t>NO</t>
        </is>
      </c>
      <c r="D38" s="10" t="inlineStr">
        <is>
          <t>Tramo Superior / Seminarios</t>
        </is>
      </c>
      <c r="E38" s="10">
        <f>IF(B38="SI", "REGULAR", "PENDIENTE")</f>
        <v/>
      </c>
      <c r="F38" s="10">
        <f>IF(C38="SI", "APROBADO", IF(B38="SI", "ADEUDA FINAL", "ADEUDA"))</f>
        <v/>
      </c>
      <c r="G38" s="11">
        <f>IF(C38="SI", "🟢 Aprobada", IF(B38="SI", "🟡 Regular", "🟣 Pendiente"))</f>
        <v/>
      </c>
    </row>
    <row r="39" ht="20" customHeight="1">
      <c r="A39" s="8" t="inlineStr">
        <is>
          <t>Estetica</t>
        </is>
      </c>
      <c r="B39" s="9" t="inlineStr">
        <is>
          <t>NO</t>
        </is>
      </c>
      <c r="C39" s="9" t="inlineStr">
        <is>
          <t>NO</t>
        </is>
      </c>
      <c r="D39" s="10" t="inlineStr">
        <is>
          <t>Tramo Superior / Seminarios</t>
        </is>
      </c>
      <c r="E39" s="10">
        <f>IF(B39="SI", "REGULAR", "PENDIENTE")</f>
        <v/>
      </c>
      <c r="F39" s="10">
        <f>IF(C39="SI", "APROBADO", IF(B39="SI", "ADEUDA FINAL", "ADEUDA"))</f>
        <v/>
      </c>
      <c r="G39" s="11">
        <f>IF(C39="SI", "🟢 Aprobada", IF(B39="SI", "🟡 Regular", "🟣 Pendiente"))</f>
        <v/>
      </c>
    </row>
    <row r="40" ht="20" customHeight="1">
      <c r="A40" s="8" t="inlineStr">
        <is>
          <t>Filosofica politca</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Historia de la filosofia moderna</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row r="42" ht="20" customHeight="1">
      <c r="A42" s="8" t="inlineStr">
        <is>
          <t>Residencia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row r="43" ht="20" customHeight="1">
      <c r="A43" s="8" t="inlineStr">
        <is>
          <t>Filosofía de la historia</t>
        </is>
      </c>
      <c r="B43" s="9" t="inlineStr">
        <is>
          <t>NO</t>
        </is>
      </c>
      <c r="C43" s="9" t="inlineStr">
        <is>
          <t>NO</t>
        </is>
      </c>
      <c r="D43" s="10" t="inlineStr">
        <is>
          <t>Tramo Superior / Seminarios</t>
        </is>
      </c>
      <c r="E43" s="10">
        <f>IF(B43="SI", "REGULAR", "PENDIENTE")</f>
        <v/>
      </c>
      <c r="F43" s="10">
        <f>IF(C43="SI", "APROBADO", IF(B43="SI", "ADEUDA FINAL", "ADEUDA"))</f>
        <v/>
      </c>
      <c r="G43" s="11">
        <f>IF(C43="SI", "🟢 Aprobada", IF(B43="SI", "🟡 Regular", "🟣 Pendiente"))</f>
        <v/>
      </c>
    </row>
    <row r="44" ht="20" customHeight="1">
      <c r="A44" s="8" t="inlineStr">
        <is>
          <t>Filosofía de la ciencia</t>
        </is>
      </c>
      <c r="B44" s="9" t="inlineStr">
        <is>
          <t>NO</t>
        </is>
      </c>
      <c r="C44" s="9" t="inlineStr">
        <is>
          <t>NO</t>
        </is>
      </c>
      <c r="D44" s="10" t="inlineStr">
        <is>
          <t>Tramo Superior / Seminarios</t>
        </is>
      </c>
      <c r="E44" s="10">
        <f>IF(B44="SI", "REGULAR", "PENDIENTE")</f>
        <v/>
      </c>
      <c r="F44" s="10">
        <f>IF(C44="SI", "APROBADO", IF(B44="SI", "ADEUDA FINAL", "ADEUDA"))</f>
        <v/>
      </c>
      <c r="G44" s="11">
        <f>IF(C44="SI", "🟢 Aprobada", IF(B44="SI", "🟡 Regular", "🟣 Pendiente"))</f>
        <v/>
      </c>
    </row>
    <row r="45" ht="22" customHeight="1">
      <c r="A45" s="7" t="inlineStr">
        <is>
          <t>📌 5° AÑO</t>
        </is>
      </c>
    </row>
    <row r="46" ht="20" customHeight="1">
      <c r="A46" s="8" t="inlineStr">
        <is>
          <t>Antropologia cultural</t>
        </is>
      </c>
      <c r="B46" s="9" t="inlineStr">
        <is>
          <t>NO</t>
        </is>
      </c>
      <c r="C46" s="9" t="inlineStr">
        <is>
          <t>NO</t>
        </is>
      </c>
      <c r="D46" s="10" t="inlineStr">
        <is>
          <t>5° Año</t>
        </is>
      </c>
      <c r="E46" s="10">
        <f>IF(B46="SI", "REGULAR", "PENDIENTE")</f>
        <v/>
      </c>
      <c r="F46" s="10">
        <f>IF(C46="SI", "APROBADO", IF(B46="SI", "ADEUDA FINAL", "ADEUDA"))</f>
        <v/>
      </c>
      <c r="G46" s="11">
        <f>IF(C46="SI", "🟢 Aprobada", IF(B46="SI", "🟡 Regular", "🟣 Pendiente"))</f>
        <v/>
      </c>
    </row>
    <row r="47" ht="20" customHeight="1">
      <c r="A47" s="8" t="inlineStr">
        <is>
          <t>Filosofia de genero</t>
        </is>
      </c>
      <c r="B47" s="9" t="inlineStr">
        <is>
          <t>NO</t>
        </is>
      </c>
      <c r="C47" s="9" t="inlineStr">
        <is>
          <t>NO</t>
        </is>
      </c>
      <c r="D47" s="10" t="inlineStr">
        <is>
          <t>5° Año</t>
        </is>
      </c>
      <c r="E47" s="10">
        <f>IF(B47="SI", "REGULAR", "PENDIENTE")</f>
        <v/>
      </c>
      <c r="F47" s="10">
        <f>IF(C47="SI", "APROBADO", IF(B47="SI", "ADEUDA FINAL", "ADEUDA"))</f>
        <v/>
      </c>
      <c r="G47" s="11">
        <f>IF(C47="SI", "🟢 Aprobada", IF(B47="SI", "🟡 Regular", "🟣 Pendiente"))</f>
        <v/>
      </c>
    </row>
    <row r="48" ht="20" customHeight="1">
      <c r="A48" s="8" t="inlineStr">
        <is>
          <t>Filosofia de la religión</t>
        </is>
      </c>
      <c r="B48" s="9" t="inlineStr">
        <is>
          <t>NO</t>
        </is>
      </c>
      <c r="C48" s="9" t="inlineStr">
        <is>
          <t>NO</t>
        </is>
      </c>
      <c r="D48" s="10" t="inlineStr">
        <is>
          <t>5° Año</t>
        </is>
      </c>
      <c r="E48" s="10">
        <f>IF(B48="SI", "REGULAR", "PENDIENTE")</f>
        <v/>
      </c>
      <c r="F48" s="10">
        <f>IF(C48="SI", "APROBADO", IF(B48="SI", "ADEUDA FINAL", "ADEUDA"))</f>
        <v/>
      </c>
      <c r="G48" s="11">
        <f>IF(C48="SI", "🟢 Aprobada", IF(B48="SI", "🟡 Regular", "🟣 Pendiente"))</f>
        <v/>
      </c>
    </row>
    <row r="49" ht="20" customHeight="1">
      <c r="A49" s="8" t="inlineStr">
        <is>
          <t>Sociedad, estado y DDHH</t>
        </is>
      </c>
      <c r="B49" s="9" t="inlineStr">
        <is>
          <t>NO</t>
        </is>
      </c>
      <c r="C49" s="9" t="inlineStr">
        <is>
          <t>NO</t>
        </is>
      </c>
      <c r="D49" s="10" t="inlineStr">
        <is>
          <t>5° Año</t>
        </is>
      </c>
      <c r="E49" s="10">
        <f>IF(B49="SI", "REGULAR", "PENDIENTE")</f>
        <v/>
      </c>
      <c r="F49" s="10">
        <f>IF(C49="SI", "APROBADO", IF(B49="SI", "ADEUDA FINAL", "ADEUDA"))</f>
        <v/>
      </c>
      <c r="G49" s="11">
        <f>IF(C49="SI", "🟢 Aprobada", IF(B49="SI", "🟡 Regular", "🟣 Pendiente"))</f>
        <v/>
      </c>
    </row>
    <row r="50" ht="20" customHeight="1">
      <c r="A50" s="8" t="inlineStr">
        <is>
          <t>Filosofia contemporanea</t>
        </is>
      </c>
      <c r="B50" s="9" t="inlineStr">
        <is>
          <t>NO</t>
        </is>
      </c>
      <c r="C50" s="9" t="inlineStr">
        <is>
          <t>NO</t>
        </is>
      </c>
      <c r="D50" s="10" t="inlineStr">
        <is>
          <t>5° Año</t>
        </is>
      </c>
      <c r="E50" s="10">
        <f>IF(B50="SI", "REGULAR", "PENDIENTE")</f>
        <v/>
      </c>
      <c r="F50" s="10">
        <f>IF(C50="SI", "APROBADO", IF(B50="SI", "ADEUDA FINAL", "ADEUDA"))</f>
        <v/>
      </c>
      <c r="G50" s="11">
        <f>IF(C50="SI", "🟢 Aprobada", IF(B50="SI", "🟡 Regular", "🟣 Pendiente"))</f>
        <v/>
      </c>
    </row>
  </sheetData>
  <mergeCells count="15">
    <mergeCell ref="I12:J12"/>
    <mergeCell ref="A1:G1"/>
    <mergeCell ref="A45:G45"/>
    <mergeCell ref="I15:J15"/>
    <mergeCell ref="I10:J10"/>
    <mergeCell ref="I1:K1"/>
    <mergeCell ref="I11:J11"/>
    <mergeCell ref="A26:G26"/>
    <mergeCell ref="A16:G16"/>
    <mergeCell ref="A2:G2"/>
    <mergeCell ref="I13:J13"/>
    <mergeCell ref="I14:J14"/>
    <mergeCell ref="I9:J9"/>
    <mergeCell ref="A5:G5"/>
    <mergeCell ref="A37:G37"/>
  </mergeCells>
  <dataValidations count="1">
    <dataValidation sqref="B6 B7 B8 B9 B10 B11 B12 B13 B14 B15 B17 B18 B19 B20 B21 B22 B23 B24 B25 B27 B28 B29 B30 B31 B32 B33 B34 B35 B36 B38 B39 B40 B41 B42 B43 B44 B46 B47 B48 B49 B50 C6 C7 C8 C9 C10 C11 C12 C13 C14 C15 C17 C18 C19 C20 C21 C22 C23 C24 C25 C27 C28 C29 C30 C31 C32 C33 C34 C35 C36 C38 C39 C40 C41 C42 C43 C44 C46 C47 C48 C49 C50"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