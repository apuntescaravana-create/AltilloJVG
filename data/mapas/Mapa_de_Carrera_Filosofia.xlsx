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 xmlns:r="http://schemas.openxmlformats.org/officeDocument/2006/relationships" name="Opciones" sheetId="2" state="hidden" r:id="rId2"/>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FFFFFF"/>
      <sz val="15"/>
    </font>
    <font>
      <name val="Arial"/>
      <i val="1"/>
      <color rgb="00BAE6FD"/>
      <sz val="10"/>
    </font>
    <font>
      <name val="Arial"/>
      <b val="1"/>
      <color rgb="00FFFFFF"/>
      <sz val="10"/>
    </font>
    <font>
      <name val="Arial"/>
      <b val="1"/>
      <color rgb="00FFFFFF"/>
      <sz val="11"/>
    </font>
    <font>
      <name val="Arial"/>
      <sz val="10"/>
    </font>
    <font>
      <name val="Arial"/>
      <b val="1"/>
      <sz val="10"/>
    </font>
    <font>
      <name val="Arial"/>
      <i val="1"/>
      <color rgb="0064748B"/>
      <sz val="9"/>
    </font>
    <font>
      <name val="Arial"/>
      <color rgb="000F172A"/>
      <sz val="9"/>
    </font>
    <font>
      <name val="Arial"/>
      <b val="1"/>
      <color rgb="000B2545"/>
      <sz val="11"/>
    </font>
  </fonts>
  <fills count="9">
    <fill>
      <patternFill/>
    </fill>
    <fill>
      <patternFill patternType="gray125"/>
    </fill>
    <fill>
      <patternFill patternType="solid">
        <fgColor rgb="000B2545"/>
        <bgColor rgb="000B2545"/>
      </patternFill>
    </fill>
    <fill>
      <patternFill patternType="solid">
        <fgColor rgb="00134074"/>
        <bgColor rgb="00134074"/>
      </patternFill>
    </fill>
    <fill>
      <patternFill patternType="solid">
        <fgColor rgb="000284C7"/>
        <bgColor rgb="000284C7"/>
      </patternFill>
    </fill>
    <fill>
      <patternFill patternType="solid">
        <fgColor rgb="00F8FAFC"/>
        <bgColor rgb="00F8FAFC"/>
      </patternFill>
    </fill>
    <fill>
      <patternFill patternType="solid">
        <fgColor rgb="00F0F9FF"/>
        <bgColor rgb="00F0F9FF"/>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center" vertical="center" wrapText="1"/>
    </xf>
    <xf numFmtId="0" fontId="3" fillId="2" borderId="0" applyAlignment="1" pivotButton="0" quotePrefix="0" xfId="0">
      <alignment horizontal="center" vertical="center"/>
    </xf>
    <xf numFmtId="0" fontId="4" fillId="3" borderId="0" applyAlignment="1" pivotButton="0" quotePrefix="0" xfId="0">
      <alignment horizontal="left" vertical="center"/>
    </xf>
    <xf numFmtId="0" fontId="6" fillId="6" borderId="1" applyAlignment="1" pivotButton="0" quotePrefix="0" xfId="0">
      <alignment vertical="center"/>
    </xf>
    <xf numFmtId="0" fontId="9" fillId="0" borderId="1" applyAlignment="1" pivotButton="0" quotePrefix="0" xfId="0">
      <alignment horizontal="center" vertical="center"/>
    </xf>
    <xf numFmtId="0" fontId="5" fillId="0" borderId="1" applyAlignment="1" pivotButton="0" quotePrefix="0" xfId="0">
      <alignment vertical="center"/>
    </xf>
    <xf numFmtId="0" fontId="6" fillId="0" borderId="1" applyAlignment="1" pivotButton="0" quotePrefix="0" xfId="0">
      <alignment horizontal="center" vertical="center"/>
    </xf>
    <xf numFmtId="0" fontId="7" fillId="0" borderId="1" applyAlignment="1" pivotButton="0" quotePrefix="0" xfId="0">
      <alignment vertical="center"/>
    </xf>
    <xf numFmtId="0" fontId="5" fillId="5" borderId="1" applyAlignment="1" pivotButton="0" quotePrefix="0" xfId="0">
      <alignment vertical="center"/>
    </xf>
    <xf numFmtId="0" fontId="7" fillId="5" borderId="1" applyAlignment="1" pivotButton="0" quotePrefix="0" xfId="0">
      <alignment vertical="center"/>
    </xf>
    <xf numFmtId="164" fontId="9" fillId="7" borderId="1" applyAlignment="1" pivotButton="0" quotePrefix="0" xfId="0">
      <alignment horizontal="center" vertical="center"/>
    </xf>
    <xf numFmtId="0" fontId="3" fillId="8" borderId="0" applyAlignment="1" pivotButton="0" quotePrefix="0" xfId="0">
      <alignment horizontal="center" vertical="center"/>
    </xf>
    <xf numFmtId="0" fontId="5" fillId="0" borderId="0" applyAlignment="1" pivotButton="0" quotePrefix="0" xfId="0">
      <alignment vertical="center" wrapText="1"/>
    </xf>
    <xf numFmtId="0" fontId="8" fillId="5" borderId="1" applyAlignment="1" pivotButton="0" quotePrefix="0" xfId="0">
      <alignment vertical="center"/>
    </xf>
    <xf numFmtId="0" fontId="8"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
  <sheetViews>
    <sheetView workbookViewId="0">
      <selection activeCell="A1" sqref="A1"/>
    </sheetView>
  </sheetViews>
  <sheetFormatPr baseColWidth="8" defaultRowHeight="15"/>
  <cols>
    <col width="38" customWidth="1" min="1" max="1"/>
    <col width="22" customWidth="1" min="2" max="2"/>
    <col width="22" customWidth="1" min="3" max="3"/>
    <col width="32" customWidth="1" min="4" max="4"/>
    <col width="18" customWidth="1" min="5" max="5"/>
    <col width="20" customWidth="1" min="6" max="6"/>
    <col width="22" customWidth="1" min="7" max="7"/>
    <col width="30" customWidth="1" min="9" max="9"/>
    <col width="18" customWidth="1" min="10" max="10"/>
  </cols>
  <sheetData>
    <row r="1" ht="32" customHeight="1">
      <c r="A1" s="1" t="inlineStr">
        <is>
          <t>MAPA DE CARRERA PERSONAL | ALTILLO JVG</t>
        </is>
      </c>
    </row>
    <row r="2" ht="20" customHeight="1">
      <c r="A2" s="2" t="inlineStr">
        <is>
          <t>Desarrollado por La Caravana + Estudiantes Independientes (Lista 90) - Joaquín V. González</t>
        </is>
      </c>
    </row>
    <row r="3" ht="28" customHeight="1">
      <c r="A3" s="3" t="inlineStr">
        <is>
          <t>Asignatura / Materia</t>
        </is>
      </c>
      <c r="B3" s="3" t="inlineStr">
        <is>
          <t>¿Cursada Regular? (Elegir SI/NO)</t>
        </is>
      </c>
      <c r="C3" s="3" t="inlineStr">
        <is>
          <t>¿Final Aprobado? (Elegir SI/NO)</t>
        </is>
      </c>
      <c r="D3" s="3" t="inlineStr">
        <is>
          <t>Correlativas para Cursar</t>
        </is>
      </c>
      <c r="E3" s="3" t="inlineStr">
        <is>
          <t>¿Podés Cursar?</t>
        </is>
      </c>
      <c r="F3" s="3" t="inlineStr">
        <is>
          <t>¿Podés Rendir Final?</t>
        </is>
      </c>
      <c r="G3" s="3" t="inlineStr">
        <is>
          <t>Estado Trayectoria</t>
        </is>
      </c>
      <c r="I3" s="4" t="inlineStr">
        <is>
          <t>📊 RESUMEN DE AVANCE</t>
        </is>
      </c>
    </row>
    <row r="4" ht="24" customHeight="1">
      <c r="A4" s="5" t="inlineStr">
        <is>
          <t>📌 PRIMER AÑO</t>
        </is>
      </c>
      <c r="I4" s="6" t="inlineStr">
        <is>
          <t>Total Materias del Plan</t>
        </is>
      </c>
      <c r="J4" s="7" t="n">
        <v>42</v>
      </c>
    </row>
    <row r="5" ht="24" customHeight="1">
      <c r="A5" s="8" t="inlineStr">
        <is>
          <t>Lógica 1 y Teoría de la Argumentación</t>
        </is>
      </c>
      <c r="B5" s="9" t="inlineStr">
        <is>
          <t>NO</t>
        </is>
      </c>
      <c r="C5" s="9" t="inlineStr">
        <is>
          <t>NO</t>
        </is>
      </c>
      <c r="D5" s="10" t="inlineStr">
        <is>
          <t>Sin correlativas previas</t>
        </is>
      </c>
      <c r="E5" s="9">
        <f>IF(OR(B5="SI",B5="SÍ",B5=TRUE),"CURSADA REGULAR","¡HABILITADA!")</f>
        <v/>
      </c>
      <c r="F5" s="9">
        <f>IF(OR(C5="SI",C5="SÍ",C5=TRUE),"APROBADA",IF(OR(B5="SI",B5="SÍ",B5=TRUE),"¡LISTO P/ FINAL!","Falta cursada"))</f>
        <v/>
      </c>
      <c r="G5" s="9">
        <f>IF(OR(C5="SI",C5="SÍ",C5=TRUE),"✅ Materia Aprobada",IF(OR(B5="SI",B5="SÍ",B5=TRUE),"⏳ Regular (Adeuda Final)","⚪ Pendiente"))</f>
        <v/>
      </c>
      <c r="I5" s="6" t="inlineStr">
        <is>
          <t>Cursadas Regulares</t>
        </is>
      </c>
      <c r="J5" s="7">
        <f>COUNTIF(B4:B50, "S*") + COUNTIF(B4:B50, TRUE)</f>
        <v/>
      </c>
    </row>
    <row r="6" ht="24" customHeight="1">
      <c r="A6" s="11" t="inlineStr">
        <is>
          <t>Introducción a la Filosofía</t>
        </is>
      </c>
      <c r="B6" s="9" t="inlineStr">
        <is>
          <t>NO</t>
        </is>
      </c>
      <c r="C6" s="9" t="inlineStr">
        <is>
          <t>NO</t>
        </is>
      </c>
      <c r="D6" s="12" t="inlineStr">
        <is>
          <t>Sin correlativas previas</t>
        </is>
      </c>
      <c r="E6" s="9">
        <f>IF(OR(B6="SI",B6="SÍ",B6=TRUE),"CURSADA REGULAR","¡HABILITADA!")</f>
        <v/>
      </c>
      <c r="F6" s="9">
        <f>IF(OR(C6="SI",C6="SÍ",C6=TRUE),"APROBADA",IF(OR(B6="SI",B6="SÍ",B6=TRUE),"¡LISTO P/ FINAL!","Falta cursada"))</f>
        <v/>
      </c>
      <c r="G6" s="9">
        <f>IF(OR(C6="SI",C6="SÍ",C6=TRUE),"✅ Materia Aprobada",IF(OR(B6="SI",B6="SÍ",B6=TRUE),"⏳ Regular (Adeuda Final)","⚪ Pendiente"))</f>
        <v/>
      </c>
      <c r="I6" s="6" t="inlineStr">
        <is>
          <t>Finales Aprobados</t>
        </is>
      </c>
      <c r="J6" s="7">
        <f>COUNTIF(C4:C50, "S*") + COUNTIF(C4:C50, TRUE)</f>
        <v/>
      </c>
    </row>
    <row r="7" ht="24" customHeight="1">
      <c r="A7" s="8" t="inlineStr">
        <is>
          <t>Psicología Educacional</t>
        </is>
      </c>
      <c r="B7" s="9" t="inlineStr">
        <is>
          <t>NO</t>
        </is>
      </c>
      <c r="C7" s="9" t="inlineStr">
        <is>
          <t>NO</t>
        </is>
      </c>
      <c r="D7" s="10" t="inlineStr">
        <is>
          <t>Sin correlativas previas</t>
        </is>
      </c>
      <c r="E7" s="9">
        <f>IF(OR(B7="SI",B7="SÍ",B7=TRUE),"CURSADA REGULAR","¡HABILITADA!")</f>
        <v/>
      </c>
      <c r="F7" s="9">
        <f>IF(OR(C7="SI",C7="SÍ",C7=TRUE),"APROBADA",IF(OR(B7="SI",B7="SÍ",B7=TRUE),"¡LISTO P/ FINAL!","Falta cursada"))</f>
        <v/>
      </c>
      <c r="G7" s="9">
        <f>IF(OR(C7="SI",C7="SÍ",C7=TRUE),"✅ Materia Aprobada",IF(OR(B7="SI",B7="SÍ",B7=TRUE),"⏳ Regular (Adeuda Final)","⚪ Pendiente"))</f>
        <v/>
      </c>
      <c r="I7" s="6" t="inlineStr">
        <is>
          <t>Finales Adeudados</t>
        </is>
      </c>
      <c r="J7" s="7">
        <f>J5-J6</f>
        <v/>
      </c>
    </row>
    <row r="8" ht="24" customHeight="1">
      <c r="A8" s="11" t="inlineStr">
        <is>
          <t>Psicología del Desarrollo</t>
        </is>
      </c>
      <c r="B8" s="9" t="inlineStr">
        <is>
          <t>NO</t>
        </is>
      </c>
      <c r="C8" s="9" t="inlineStr">
        <is>
          <t>NO</t>
        </is>
      </c>
      <c r="D8" s="12" t="inlineStr">
        <is>
          <t>Sin correlativas previas</t>
        </is>
      </c>
      <c r="E8" s="9">
        <f>IF(OR(B8="SI",B8="SÍ",B8=TRUE),"CURSADA REGULAR","¡HABILITADA!")</f>
        <v/>
      </c>
      <c r="F8" s="9">
        <f>IF(OR(C8="SI",C8="SÍ",C8=TRUE),"APROBADA",IF(OR(B8="SI",B8="SÍ",B8=TRUE),"¡LISTO P/ FINAL!","Falta cursada"))</f>
        <v/>
      </c>
      <c r="G8" s="9">
        <f>IF(OR(C8="SI",C8="SÍ",C8=TRUE),"✅ Materia Aprobada",IF(OR(B8="SI",B8="SÍ",B8=TRUE),"⏳ Regular (Adeuda Final)","⚪ Pendiente"))</f>
        <v/>
      </c>
      <c r="I8" s="6" t="inlineStr">
        <is>
          <t>% Cursadas Completadas</t>
        </is>
      </c>
      <c r="J8" s="13">
        <f>J5/42</f>
        <v/>
      </c>
    </row>
    <row r="9" ht="24" customHeight="1">
      <c r="A9" s="8" t="inlineStr">
        <is>
          <t>Sociología</t>
        </is>
      </c>
      <c r="B9" s="9" t="inlineStr">
        <is>
          <t>NO</t>
        </is>
      </c>
      <c r="C9" s="9" t="inlineStr">
        <is>
          <t>NO</t>
        </is>
      </c>
      <c r="D9" s="10" t="inlineStr">
        <is>
          <t>Sin correlativas previas</t>
        </is>
      </c>
      <c r="E9" s="9">
        <f>IF(OR(B9="SI",B9="SÍ",B9=TRUE),"CURSADA REGULAR","¡HABILITADA!")</f>
        <v/>
      </c>
      <c r="F9" s="9">
        <f>IF(OR(C9="SI",C9="SÍ",C9=TRUE),"APROBADA",IF(OR(B9="SI",B9="SÍ",B9=TRUE),"¡LISTO P/ FINAL!","Falta cursada"))</f>
        <v/>
      </c>
      <c r="G9" s="9">
        <f>IF(OR(C9="SI",C9="SÍ",C9=TRUE),"✅ Materia Aprobada",IF(OR(B9="SI",B9="SÍ",B9=TRUE),"⏳ Regular (Adeuda Final)","⚪ Pendiente"))</f>
        <v/>
      </c>
      <c r="I9" s="6" t="inlineStr">
        <is>
          <t>% Carrera Aprobada (Finales)</t>
        </is>
      </c>
      <c r="J9" s="13">
        <f>J6/42</f>
        <v/>
      </c>
    </row>
    <row r="10" ht="20" customHeight="1">
      <c r="A10" s="11" t="inlineStr">
        <is>
          <t>Pedagogía</t>
        </is>
      </c>
      <c r="B10" s="9" t="inlineStr">
        <is>
          <t>NO</t>
        </is>
      </c>
      <c r="C10" s="9" t="inlineStr">
        <is>
          <t>NO</t>
        </is>
      </c>
      <c r="D10" s="12" t="inlineStr">
        <is>
          <t>Sin correlativas previas</t>
        </is>
      </c>
      <c r="E10" s="9">
        <f>IF(OR(B10="SI",B10="SÍ",B10=TRUE),"CURSADA REGULAR","¡HABILITADA!")</f>
        <v/>
      </c>
      <c r="F10" s="9">
        <f>IF(OR(C10="SI",C10="SÍ",C10=TRUE),"APROBADA",IF(OR(B10="SI",B10="SÍ",B10=TRUE),"¡LISTO P/ FINAL!","Falta cursada"))</f>
        <v/>
      </c>
      <c r="G10" s="9">
        <f>IF(OR(C10="SI",C10="SÍ",C10=TRUE),"✅ Materia Aprobada",IF(OR(B10="SI",B10="SÍ",B10=TRUE),"⏳ Regular (Adeuda Final)","⚪ Pendiente"))</f>
        <v/>
      </c>
    </row>
    <row r="11" ht="20" customHeight="1">
      <c r="A11" s="8" t="inlineStr">
        <is>
          <t>LEO 1 (Lectura y Escritura Académica)</t>
        </is>
      </c>
      <c r="B11" s="9" t="inlineStr">
        <is>
          <t>NO</t>
        </is>
      </c>
      <c r="C11" s="9" t="inlineStr">
        <is>
          <t>NO</t>
        </is>
      </c>
      <c r="D11" s="10" t="inlineStr">
        <is>
          <t>Sin correlativas previas</t>
        </is>
      </c>
      <c r="E11" s="9">
        <f>IF(OR(B11="SI",B11="SÍ",B11=TRUE),"CURSADA REGULAR","¡HABILITADA!")</f>
        <v/>
      </c>
      <c r="F11" s="9">
        <f>IF(OR(C11="SI",C11="SÍ",C11=TRUE),"APROBADA",IF(OR(B11="SI",B11="SÍ",B11=TRUE),"¡LISTO P/ FINAL!","Falta cursada"))</f>
        <v/>
      </c>
      <c r="G11" s="9">
        <f>IF(OR(C11="SI",C11="SÍ",C11=TRUE),"✅ Materia Aprobada",IF(OR(B11="SI",B11="SÍ",B11=TRUE),"⏳ Regular (Adeuda Final)","⚪ Pendiente"))</f>
        <v/>
      </c>
      <c r="I11" s="14" t="inlineStr">
        <is>
          <t>💡 INSTRUCCIONES DE USO</t>
        </is>
      </c>
    </row>
    <row r="12" ht="26" customHeight="1">
      <c r="A12" s="11" t="inlineStr">
        <is>
          <t>Trabajo de Campo 1</t>
        </is>
      </c>
      <c r="B12" s="9" t="inlineStr">
        <is>
          <t>NO</t>
        </is>
      </c>
      <c r="C12" s="9" t="inlineStr">
        <is>
          <t>NO</t>
        </is>
      </c>
      <c r="D12" s="12" t="inlineStr">
        <is>
          <t>Sin correlativas previas</t>
        </is>
      </c>
      <c r="E12" s="9">
        <f>IF(OR(B12="SI",B12="SÍ",B12=TRUE),"CURSADA REGULAR","¡HABILITADA!")</f>
        <v/>
      </c>
      <c r="F12" s="9">
        <f>IF(OR(C12="SI",C12="SÍ",C12=TRUE),"APROBADA",IF(OR(B12="SI",B12="SÍ",B12=TRUE),"¡LISTO P/ FINAL!","Falta cursada"))</f>
        <v/>
      </c>
      <c r="G12" s="9">
        <f>IF(OR(C12="SI",C12="SÍ",C12=TRUE),"✅ Materia Aprobada",IF(OR(B12="SI",B12="SÍ",B12=TRUE),"⏳ Regular (Adeuda Final)","⚪ Pendiente"))</f>
        <v/>
      </c>
      <c r="I12" s="15" t="inlineStr">
        <is>
          <t>1. Hacé clic en la celda y elegí 'SI' o 'NO' desde el menú desplegable.</t>
        </is>
      </c>
    </row>
    <row r="13" ht="26" customHeight="1">
      <c r="A13" s="8" t="inlineStr">
        <is>
          <t>Educación Sexual Integral (ESI)</t>
        </is>
      </c>
      <c r="B13" s="9" t="inlineStr">
        <is>
          <t>NO</t>
        </is>
      </c>
      <c r="C13" s="9" t="inlineStr">
        <is>
          <t>NO</t>
        </is>
      </c>
      <c r="D13" s="10" t="inlineStr">
        <is>
          <t>Sin correlativas previas</t>
        </is>
      </c>
      <c r="E13" s="9">
        <f>IF(OR(B13="SI",B13="SÍ",B13=TRUE),"CURSADA REGULAR","¡HABILITADA!")</f>
        <v/>
      </c>
      <c r="F13" s="9">
        <f>IF(OR(C13="SI",C13="SÍ",C13=TRUE),"APROBADA",IF(OR(B13="SI",B13="SÍ",B13=TRUE),"¡LISTO P/ FINAL!","Falta cursada"))</f>
        <v/>
      </c>
      <c r="G13" s="9">
        <f>IF(OR(C13="SI",C13="SÍ",C13=TRUE),"✅ Materia Aprobada",IF(OR(B13="SI",B13="SÍ",B13=TRUE),"⏳ Regular (Adeuda Final)","⚪ Pendiente"))</f>
        <v/>
      </c>
      <c r="I13" s="15" t="inlineStr">
        <is>
          <t>2. Columna B: Marcá 'SI' si tenés la cursada regular aprobada.</t>
        </is>
      </c>
    </row>
    <row r="14" ht="26" customHeight="1">
      <c r="A14" s="11" t="inlineStr">
        <is>
          <t>Lengua Extranjera</t>
        </is>
      </c>
      <c r="B14" s="9" t="inlineStr">
        <is>
          <t>NO</t>
        </is>
      </c>
      <c r="C14" s="9" t="inlineStr">
        <is>
          <t>NO</t>
        </is>
      </c>
      <c r="D14" s="12" t="inlineStr">
        <is>
          <t>Sin correlativas previas</t>
        </is>
      </c>
      <c r="E14" s="9">
        <f>IF(OR(B14="SI",B14="SÍ",B14=TRUE),"CURSADA REGULAR","¡HABILITADA!")</f>
        <v/>
      </c>
      <c r="F14" s="9">
        <f>IF(OR(C14="SI",C14="SÍ",C14=TRUE),"APROBADA",IF(OR(B14="SI",B14="SÍ",B14=TRUE),"¡LISTO P/ FINAL!","Falta cursada"))</f>
        <v/>
      </c>
      <c r="G14" s="9">
        <f>IF(OR(C14="SI",C14="SÍ",C14=TRUE),"✅ Materia Aprobada",IF(OR(B14="SI",B14="SÍ",B14=TRUE),"⏳ Regular (Adeuda Final)","⚪ Pendiente"))</f>
        <v/>
      </c>
      <c r="I14" s="15" t="inlineStr">
        <is>
          <t>3. Columna C: Marcá 'SI' si aprobaste el final o promocionaste.</t>
        </is>
      </c>
    </row>
    <row r="15" ht="26" customHeight="1">
      <c r="A15" s="5" t="inlineStr">
        <is>
          <t>📌 SEGUNDO AÑO</t>
        </is>
      </c>
      <c r="I15" s="15" t="inlineStr">
        <is>
          <t>4. Las columnas E y F te informan automáticamente qué podés cursar o rendir.</t>
        </is>
      </c>
    </row>
    <row r="16" ht="26" customHeight="1">
      <c r="A16" s="11" t="inlineStr">
        <is>
          <t>Didáctica General</t>
        </is>
      </c>
      <c r="B16" s="9" t="inlineStr">
        <is>
          <t>NO</t>
        </is>
      </c>
      <c r="C16" s="9" t="inlineStr">
        <is>
          <t>NO</t>
        </is>
      </c>
      <c r="D16" s="16" t="inlineStr">
        <is>
          <t>Pedagogía</t>
        </is>
      </c>
      <c r="E16" s="9">
        <f>IF(OR(B16="SI",B16="SÍ",B16=TRUE),"CURSADA REGULAR",IF(AND(OR(B10="SI",B10="SÍ",B10=TRUE)),"¡HABILITADA!","Faltan correlat."))</f>
        <v/>
      </c>
      <c r="F16" s="9">
        <f>IF(OR(C16="SI",C16="SÍ",C16=TRUE),"APROBADA",IF(AND(OR(B16="SI",B16="SÍ",B16=TRUE),AND(OR(C10="SI",C10="SÍ",C10=TRUE))),"¡LISTO P/ FINAL!","Faltan finales prev."))</f>
        <v/>
      </c>
      <c r="G16" s="9">
        <f>IF(OR(C16="SI",C16="SÍ",C16=TRUE),"✅ Materia Aprobada",IF(OR(B16="SI",B16="SÍ",B16=TRUE),"⏳ Regular (Adeuda Final)","⚪ Pendiente"))</f>
        <v/>
      </c>
      <c r="I16" s="15" t="inlineStr">
        <is>
          <t>5. El panel lateral calcula tu avance y porcentaje de carrera en tiempo real.</t>
        </is>
      </c>
    </row>
    <row r="17" ht="26" customHeight="1">
      <c r="A17" s="8" t="inlineStr">
        <is>
          <t>Historia de la Educación Argentina</t>
        </is>
      </c>
      <c r="B17" s="9" t="inlineStr">
        <is>
          <t>NO</t>
        </is>
      </c>
      <c r="C17" s="9" t="inlineStr">
        <is>
          <t>NO</t>
        </is>
      </c>
      <c r="D17" s="17" t="inlineStr">
        <is>
          <t>Pedagogía, Sociología</t>
        </is>
      </c>
      <c r="E17" s="9">
        <f>IF(OR(B17="SI",B17="SÍ",B17=TRUE),"CURSADA REGULAR",IF(AND(OR(B10="SI",B10="SÍ",B10=TRUE),OR(B9="SI",B9="SÍ",B9=TRUE)),"¡HABILITADA!","Faltan correlat."))</f>
        <v/>
      </c>
      <c r="F17" s="9">
        <f>IF(OR(C17="SI",C17="SÍ",C17=TRUE),"APROBADA",IF(AND(OR(B17="SI",B17="SÍ",B17=TRUE),AND(OR(C10="SI",C10="SÍ",C10=TRUE),OR(C9="SI",C9="SÍ",C9=TRUE))),"¡LISTO P/ FINAL!","Faltan finales prev."))</f>
        <v/>
      </c>
      <c r="G17" s="9">
        <f>IF(OR(C17="SI",C17="SÍ",C17=TRUE),"✅ Materia Aprobada",IF(OR(B17="SI",B17="SÍ",B17=TRUE),"⏳ Regular (Adeuda Final)","⚪ Pendiente"))</f>
        <v/>
      </c>
      <c r="I17" s="15" t="inlineStr">
        <is>
          <t>6. Guardá una copia en tu Google Drive personal para conservar tus progresos.</t>
        </is>
      </c>
    </row>
    <row r="18" ht="20" customHeight="1">
      <c r="A18" s="11" t="inlineStr">
        <is>
          <t>Historia de la Filosofía Antigua</t>
        </is>
      </c>
      <c r="B18" s="9" t="inlineStr">
        <is>
          <t>NO</t>
        </is>
      </c>
      <c r="C18" s="9" t="inlineStr">
        <is>
          <t>NO</t>
        </is>
      </c>
      <c r="D18" s="16" t="inlineStr">
        <is>
          <t>Introducción a la Filosofía</t>
        </is>
      </c>
      <c r="E18" s="9">
        <f>IF(OR(B18="SI",B18="SÍ",B18=TRUE),"CURSADA REGULAR",IF(AND(OR(B6="SI",B6="SÍ",B6=TRUE)),"¡HABILITADA!","Faltan correlat."))</f>
        <v/>
      </c>
      <c r="F18" s="9">
        <f>IF(OR(C18="SI",C18="SÍ",C18=TRUE),"APROBADA",IF(AND(OR(B18="SI",B18="SÍ",B18=TRUE),AND(OR(C6="SI",C6="SÍ",C6=TRUE))),"¡LISTO P/ FINAL!","Faltan finales prev."))</f>
        <v/>
      </c>
      <c r="G18" s="9">
        <f>IF(OR(C18="SI",C18="SÍ",C18=TRUE),"✅ Materia Aprobada",IF(OR(B18="SI",B18="SÍ",B18=TRUE),"⏳ Regular (Adeuda Final)","⚪ Pendiente"))</f>
        <v/>
      </c>
    </row>
    <row r="19" ht="20" customHeight="1">
      <c r="A19" s="8" t="inlineStr">
        <is>
          <t>Filosofía Argentina y Latinoamericana</t>
        </is>
      </c>
      <c r="B19" s="9" t="inlineStr">
        <is>
          <t>NO</t>
        </is>
      </c>
      <c r="C19" s="9" t="inlineStr">
        <is>
          <t>NO</t>
        </is>
      </c>
      <c r="D19" s="17" t="inlineStr">
        <is>
          <t>Introducción a la Filosofía</t>
        </is>
      </c>
      <c r="E19" s="9">
        <f>IF(OR(B19="SI",B19="SÍ",B19=TRUE),"CURSADA REGULAR",IF(AND(OR(B6="SI",B6="SÍ",B6=TRUE)),"¡HABILITADA!","Faltan correlat."))</f>
        <v/>
      </c>
      <c r="F19" s="9">
        <f>IF(OR(C19="SI",C19="SÍ",C19=TRUE),"APROBADA",IF(AND(OR(B19="SI",B19="SÍ",B19=TRUE),AND(OR(C6="SI",C6="SÍ",C6=TRUE))),"¡LISTO P/ FINAL!","Faltan finales prev."))</f>
        <v/>
      </c>
      <c r="G19" s="9">
        <f>IF(OR(C19="SI",C19="SÍ",C19=TRUE),"✅ Materia Aprobada",IF(OR(B19="SI",B19="SÍ",B19=TRUE),"⏳ Regular (Adeuda Final)","⚪ Pendiente"))</f>
        <v/>
      </c>
    </row>
    <row r="20" ht="20" customHeight="1">
      <c r="A20" s="11" t="inlineStr">
        <is>
          <t>Historia del Arte</t>
        </is>
      </c>
      <c r="B20" s="9" t="inlineStr">
        <is>
          <t>NO</t>
        </is>
      </c>
      <c r="C20" s="9" t="inlineStr">
        <is>
          <t>NO</t>
        </is>
      </c>
      <c r="D20" s="12" t="inlineStr">
        <is>
          <t>Sin correlativas previas</t>
        </is>
      </c>
      <c r="E20" s="9">
        <f>IF(OR(B20="SI",B20="SÍ",B20=TRUE),"CURSADA REGULAR","¡HABILITADA!")</f>
        <v/>
      </c>
      <c r="F20" s="9">
        <f>IF(OR(C20="SI",C20="SÍ",C20=TRUE),"APROBADA",IF(OR(B20="SI",B20="SÍ",B20=TRUE),"¡LISTO P/ FINAL!","Falta cursada"))</f>
        <v/>
      </c>
      <c r="G20" s="9">
        <f>IF(OR(C20="SI",C20="SÍ",C20=TRUE),"✅ Materia Aprobada",IF(OR(B20="SI",B20="SÍ",B20=TRUE),"⏳ Regular (Adeuda Final)","⚪ Pendiente"))</f>
        <v/>
      </c>
    </row>
    <row r="21" ht="20" customHeight="1">
      <c r="A21" s="8" t="inlineStr">
        <is>
          <t>Metodología de la Investigación</t>
        </is>
      </c>
      <c r="B21" s="9" t="inlineStr">
        <is>
          <t>NO</t>
        </is>
      </c>
      <c r="C21" s="9" t="inlineStr">
        <is>
          <t>NO</t>
        </is>
      </c>
      <c r="D21" s="17" t="inlineStr">
        <is>
          <t>Lógica 1 y Teoría de la Argumentación</t>
        </is>
      </c>
      <c r="E21" s="9">
        <f>IF(OR(B21="SI",B21="SÍ",B21=TRUE),"CURSADA REGULAR",IF(AND(OR(B5="SI",B5="SÍ",B5=TRUE)),"¡HABILITADA!","Faltan correlat."))</f>
        <v/>
      </c>
      <c r="F21" s="9">
        <f>IF(OR(C21="SI",C21="SÍ",C21=TRUE),"APROBADA",IF(AND(OR(B21="SI",B21="SÍ",B21=TRUE),AND(OR(C5="SI",C5="SÍ",C5=TRUE))),"¡LISTO P/ FINAL!","Faltan finales prev."))</f>
        <v/>
      </c>
      <c r="G21" s="9">
        <f>IF(OR(C21="SI",C21="SÍ",C21=TRUE),"✅ Materia Aprobada",IF(OR(B21="SI",B21="SÍ",B21=TRUE),"⏳ Regular (Adeuda Final)","⚪ Pendiente"))</f>
        <v/>
      </c>
    </row>
    <row r="22" ht="20" customHeight="1">
      <c r="A22" s="11" t="inlineStr">
        <is>
          <t>Nuevas Tecnologías</t>
        </is>
      </c>
      <c r="B22" s="9" t="inlineStr">
        <is>
          <t>NO</t>
        </is>
      </c>
      <c r="C22" s="9" t="inlineStr">
        <is>
          <t>NO</t>
        </is>
      </c>
      <c r="D22" s="12" t="inlineStr">
        <is>
          <t>Sin correlativas previas</t>
        </is>
      </c>
      <c r="E22" s="9">
        <f>IF(OR(B22="SI",B22="SÍ",B22=TRUE),"CURSADA REGULAR","¡HABILITADA!")</f>
        <v/>
      </c>
      <c r="F22" s="9">
        <f>IF(OR(C22="SI",C22="SÍ",C22=TRUE),"APROBADA",IF(OR(B22="SI",B22="SÍ",B22=TRUE),"¡LISTO P/ FINAL!","Falta cursada"))</f>
        <v/>
      </c>
      <c r="G22" s="9">
        <f>IF(OR(C22="SI",C22="SÍ",C22=TRUE),"✅ Materia Aprobada",IF(OR(B22="SI",B22="SÍ",B22=TRUE),"⏳ Regular (Adeuda Final)","⚪ Pendiente"))</f>
        <v/>
      </c>
    </row>
    <row r="23" ht="20" customHeight="1">
      <c r="A23" s="8" t="inlineStr">
        <is>
          <t>LEO 2</t>
        </is>
      </c>
      <c r="B23" s="9" t="inlineStr">
        <is>
          <t>NO</t>
        </is>
      </c>
      <c r="C23" s="9" t="inlineStr">
        <is>
          <t>NO</t>
        </is>
      </c>
      <c r="D23" s="17" t="inlineStr">
        <is>
          <t>LEO 1 (Lectura y Escritura Académica)</t>
        </is>
      </c>
      <c r="E23" s="9">
        <f>IF(OR(B23="SI",B23="SÍ",B23=TRUE),"CURSADA REGULAR",IF(AND(OR(B11="SI",B11="SÍ",B11=TRUE)),"¡HABILITADA!","Faltan correlat."))</f>
        <v/>
      </c>
      <c r="F23" s="9">
        <f>IF(OR(C23="SI",C23="SÍ",C23=TRUE),"APROBADA",IF(AND(OR(B23="SI",B23="SÍ",B23=TRUE),AND(OR(C11="SI",C11="SÍ",C11=TRUE))),"¡LISTO P/ FINAL!","Faltan finales prev."))</f>
        <v/>
      </c>
      <c r="G23" s="9">
        <f>IF(OR(C23="SI",C23="SÍ",C23=TRUE),"✅ Materia Aprobada",IF(OR(B23="SI",B23="SÍ",B23=TRUE),"⏳ Regular (Adeuda Final)","⚪ Pendiente"))</f>
        <v/>
      </c>
    </row>
    <row r="24" ht="20" customHeight="1">
      <c r="A24" s="11" t="inlineStr">
        <is>
          <t>Trabajo de Campo 2</t>
        </is>
      </c>
      <c r="B24" s="9" t="inlineStr">
        <is>
          <t>NO</t>
        </is>
      </c>
      <c r="C24" s="9" t="inlineStr">
        <is>
          <t>NO</t>
        </is>
      </c>
      <c r="D24" s="16" t="inlineStr">
        <is>
          <t>Trabajo de Campo 1</t>
        </is>
      </c>
      <c r="E24" s="9">
        <f>IF(OR(B24="SI",B24="SÍ",B24=TRUE),"CURSADA REGULAR",IF(AND(OR(B12="SI",B12="SÍ",B12=TRUE)),"¡HABILITADA!","Faltan correlat."))</f>
        <v/>
      </c>
      <c r="F24" s="9">
        <f>IF(OR(C24="SI",C24="SÍ",C24=TRUE),"APROBADA",IF(AND(OR(B24="SI",B24="SÍ",B24=TRUE),AND(OR(C12="SI",C12="SÍ",C12=TRUE))),"¡LISTO P/ FINAL!","Faltan finales prev."))</f>
        <v/>
      </c>
      <c r="G24" s="9">
        <f>IF(OR(C24="SI",C24="SÍ",C24=TRUE),"✅ Materia Aprobada",IF(OR(B24="SI",B24="SÍ",B24=TRUE),"⏳ Regular (Adeuda Final)","⚪ Pendiente"))</f>
        <v/>
      </c>
    </row>
    <row r="25" ht="24" customHeight="1">
      <c r="A25" s="5" t="inlineStr">
        <is>
          <t>📌 TERCER AÑO</t>
        </is>
      </c>
    </row>
    <row r="26" ht="20" customHeight="1">
      <c r="A26" s="11" t="inlineStr">
        <is>
          <t>Lógica 2</t>
        </is>
      </c>
      <c r="B26" s="9" t="inlineStr">
        <is>
          <t>NO</t>
        </is>
      </c>
      <c r="C26" s="9" t="inlineStr">
        <is>
          <t>NO</t>
        </is>
      </c>
      <c r="D26" s="16" t="inlineStr">
        <is>
          <t>Lógica 1 y Teoría de la Argumentación</t>
        </is>
      </c>
      <c r="E26" s="9">
        <f>IF(OR(B26="SI",B26="SÍ",B26=TRUE),"CURSADA REGULAR",IF(AND(OR(B5="SI",B5="SÍ",B5=TRUE)),"¡HABILITADA!","Faltan correlat."))</f>
        <v/>
      </c>
      <c r="F26" s="9">
        <f>IF(OR(C26="SI",C26="SÍ",C26=TRUE),"APROBADA",IF(AND(OR(B26="SI",B26="SÍ",B26=TRUE),AND(OR(C5="SI",C5="SÍ",C5=TRUE))),"¡LISTO P/ FINAL!","Faltan finales prev."))</f>
        <v/>
      </c>
      <c r="G26" s="9">
        <f>IF(OR(C26="SI",C26="SÍ",C26=TRUE),"✅ Materia Aprobada",IF(OR(B26="SI",B26="SÍ",B26=TRUE),"⏳ Regular (Adeuda Final)","⚪ Pendiente"))</f>
        <v/>
      </c>
    </row>
    <row r="27" ht="20" customHeight="1">
      <c r="A27" s="8" t="inlineStr">
        <is>
          <t>Filosofía de la Lógica</t>
        </is>
      </c>
      <c r="B27" s="9" t="inlineStr">
        <is>
          <t>NO</t>
        </is>
      </c>
      <c r="C27" s="9" t="inlineStr">
        <is>
          <t>NO</t>
        </is>
      </c>
      <c r="D27" s="17" t="inlineStr">
        <is>
          <t>Lógica 1 y Teoría de la Argumentación</t>
        </is>
      </c>
      <c r="E27" s="9">
        <f>IF(OR(B27="SI",B27="SÍ",B27=TRUE),"CURSADA REGULAR",IF(AND(OR(B5="SI",B5="SÍ",B5=TRUE)),"¡HABILITADA!","Faltan correlat."))</f>
        <v/>
      </c>
      <c r="F27" s="9">
        <f>IF(OR(C27="SI",C27="SÍ",C27=TRUE),"APROBADA",IF(AND(OR(B27="SI",B27="SÍ",B27=TRUE),AND(OR(C5="SI",C5="SÍ",C5=TRUE))),"¡LISTO P/ FINAL!","Faltan finales prev."))</f>
        <v/>
      </c>
      <c r="G27" s="9">
        <f>IF(OR(C27="SI",C27="SÍ",C27=TRUE),"✅ Materia Aprobada",IF(OR(B27="SI",B27="SÍ",B27=TRUE),"⏳ Regular (Adeuda Final)","⚪ Pendiente"))</f>
        <v/>
      </c>
    </row>
    <row r="28" ht="20" customHeight="1">
      <c r="A28" s="11" t="inlineStr">
        <is>
          <t>Historia de la Filosofía Medieval</t>
        </is>
      </c>
      <c r="B28" s="9" t="inlineStr">
        <is>
          <t>NO</t>
        </is>
      </c>
      <c r="C28" s="9" t="inlineStr">
        <is>
          <t>NO</t>
        </is>
      </c>
      <c r="D28" s="16" t="inlineStr">
        <is>
          <t>Historia de la Filosofía Antigua</t>
        </is>
      </c>
      <c r="E28" s="9">
        <f>IF(OR(B28="SI",B28="SÍ",B28=TRUE),"CURSADA REGULAR",IF(AND(OR(B18="SI",B18="SÍ",B18=TRUE)),"¡HABILITADA!","Faltan correlat."))</f>
        <v/>
      </c>
      <c r="F28" s="9">
        <f>IF(OR(C28="SI",C28="SÍ",C28=TRUE),"APROBADA",IF(AND(OR(B28="SI",B28="SÍ",B28=TRUE),AND(OR(C18="SI",C18="SÍ",C18=TRUE))),"¡LISTO P/ FINAL!","Faltan finales prev."))</f>
        <v/>
      </c>
      <c r="G28" s="9">
        <f>IF(OR(C28="SI",C28="SÍ",C28=TRUE),"✅ Materia Aprobada",IF(OR(B28="SI",B28="SÍ",B28=TRUE),"⏳ Regular (Adeuda Final)","⚪ Pendiente"))</f>
        <v/>
      </c>
    </row>
    <row r="29" ht="20" customHeight="1">
      <c r="A29" s="8" t="inlineStr">
        <is>
          <t>Metafísica</t>
        </is>
      </c>
      <c r="B29" s="9" t="inlineStr">
        <is>
          <t>NO</t>
        </is>
      </c>
      <c r="C29" s="9" t="inlineStr">
        <is>
          <t>NO</t>
        </is>
      </c>
      <c r="D29" s="17" t="inlineStr">
        <is>
          <t>Historia de la Filosofía Antigua</t>
        </is>
      </c>
      <c r="E29" s="9">
        <f>IF(OR(B29="SI",B29="SÍ",B29=TRUE),"CURSADA REGULAR",IF(AND(OR(B18="SI",B18="SÍ",B18=TRUE)),"¡HABILITADA!","Faltan correlat."))</f>
        <v/>
      </c>
      <c r="F29" s="9">
        <f>IF(OR(C29="SI",C29="SÍ",C29=TRUE),"APROBADA",IF(AND(OR(B29="SI",B29="SÍ",B29=TRUE),AND(OR(C18="SI",C18="SÍ",C18=TRUE))),"¡LISTO P/ FINAL!","Faltan finales prev."))</f>
        <v/>
      </c>
      <c r="G29" s="9">
        <f>IF(OR(C29="SI",C29="SÍ",C29=TRUE),"✅ Materia Aprobada",IF(OR(B29="SI",B29="SÍ",B29=TRUE),"⏳ Regular (Adeuda Final)","⚪ Pendiente"))</f>
        <v/>
      </c>
    </row>
    <row r="30" ht="20" customHeight="1">
      <c r="A30" s="11" t="inlineStr">
        <is>
          <t>Historia de la Ciencia</t>
        </is>
      </c>
      <c r="B30" s="9" t="inlineStr">
        <is>
          <t>NO</t>
        </is>
      </c>
      <c r="C30" s="9" t="inlineStr">
        <is>
          <t>NO</t>
        </is>
      </c>
      <c r="D30" s="16" t="inlineStr">
        <is>
          <t>Metodología de la Investigación</t>
        </is>
      </c>
      <c r="E30" s="9">
        <f>IF(OR(B30="SI",B30="SÍ",B30=TRUE),"CURSADA REGULAR",IF(AND(OR(B21="SI",B21="SÍ",B21=TRUE)),"¡HABILITADA!","Faltan correlat."))</f>
        <v/>
      </c>
      <c r="F30" s="9">
        <f>IF(OR(C30="SI",C30="SÍ",C30=TRUE),"APROBADA",IF(AND(OR(B30="SI",B30="SÍ",B30=TRUE),AND(OR(C21="SI",C21="SÍ",C21=TRUE))),"¡LISTO P/ FINAL!","Faltan finales prev."))</f>
        <v/>
      </c>
      <c r="G30" s="9">
        <f>IF(OR(C30="SI",C30="SÍ",C30=TRUE),"✅ Materia Aprobada",IF(OR(B30="SI",B30="SÍ",B30=TRUE),"⏳ Regular (Adeuda Final)","⚪ Pendiente"))</f>
        <v/>
      </c>
    </row>
    <row r="31" ht="20" customHeight="1">
      <c r="A31" s="8" t="inlineStr">
        <is>
          <t>Trabajo de Campo 3</t>
        </is>
      </c>
      <c r="B31" s="9" t="inlineStr">
        <is>
          <t>NO</t>
        </is>
      </c>
      <c r="C31" s="9" t="inlineStr">
        <is>
          <t>NO</t>
        </is>
      </c>
      <c r="D31" s="17" t="inlineStr">
        <is>
          <t>Trabajo de Campo 2</t>
        </is>
      </c>
      <c r="E31" s="9">
        <f>IF(OR(B31="SI",B31="SÍ",B31=TRUE),"CURSADA REGULAR",IF(AND(OR(B24="SI",B24="SÍ",B24=TRUE)),"¡HABILITADA!","Faltan correlat."))</f>
        <v/>
      </c>
      <c r="F31" s="9">
        <f>IF(OR(C31="SI",C31="SÍ",C31=TRUE),"APROBADA",IF(AND(OR(B31="SI",B31="SÍ",B31=TRUE),AND(OR(C24="SI",C24="SÍ",C24=TRUE))),"¡LISTO P/ FINAL!","Faltan finales prev."))</f>
        <v/>
      </c>
      <c r="G31" s="9">
        <f>IF(OR(C31="SI",C31="SÍ",C31=TRUE),"✅ Materia Aprobada",IF(OR(B31="SI",B31="SÍ",B31=TRUE),"⏳ Regular (Adeuda Final)","⚪ Pendiente"))</f>
        <v/>
      </c>
    </row>
    <row r="32" ht="20" customHeight="1">
      <c r="A32" s="11" t="inlineStr">
        <is>
          <t>Taller de Didáctica de la Filosofía y Prod. Materiales</t>
        </is>
      </c>
      <c r="B32" s="9" t="inlineStr">
        <is>
          <t>NO</t>
        </is>
      </c>
      <c r="C32" s="9" t="inlineStr">
        <is>
          <t>NO</t>
        </is>
      </c>
      <c r="D32" s="16" t="inlineStr">
        <is>
          <t>Didáctica General</t>
        </is>
      </c>
      <c r="E32" s="9">
        <f>IF(OR(B32="SI",B32="SÍ",B32=TRUE),"CURSADA REGULAR",IF(AND(OR(B16="SI",B16="SÍ",B16=TRUE)),"¡HABILITADA!","Faltan correlat."))</f>
        <v/>
      </c>
      <c r="F32" s="9">
        <f>IF(OR(C32="SI",C32="SÍ",C32=TRUE),"APROBADA",IF(AND(OR(B32="SI",B32="SÍ",B32=TRUE),AND(OR(C16="SI",C16="SÍ",C16=TRUE))),"¡LISTO P/ FINAL!","Faltan finales prev."))</f>
        <v/>
      </c>
      <c r="G32" s="9">
        <f>IF(OR(C32="SI",C32="SÍ",C32=TRUE),"✅ Materia Aprobada",IF(OR(B32="SI",B32="SÍ",B32=TRUE),"⏳ Regular (Adeuda Final)","⚪ Pendiente"))</f>
        <v/>
      </c>
    </row>
    <row r="33" ht="20" customHeight="1">
      <c r="A33" s="8" t="inlineStr">
        <is>
          <t>Sistema y Política Educativa</t>
        </is>
      </c>
      <c r="B33" s="9" t="inlineStr">
        <is>
          <t>NO</t>
        </is>
      </c>
      <c r="C33" s="9" t="inlineStr">
        <is>
          <t>NO</t>
        </is>
      </c>
      <c r="D33" s="17" t="inlineStr">
        <is>
          <t>Historia de la Educación Argentina</t>
        </is>
      </c>
      <c r="E33" s="9">
        <f>IF(OR(B33="SI",B33="SÍ",B33=TRUE),"CURSADA REGULAR",IF(AND(OR(B17="SI",B17="SÍ",B17=TRUE)),"¡HABILITADA!","Faltan correlat."))</f>
        <v/>
      </c>
      <c r="F33" s="9">
        <f>IF(OR(C33="SI",C33="SÍ",C33=TRUE),"APROBADA",IF(AND(OR(B33="SI",B33="SÍ",B33=TRUE),AND(OR(C17="SI",C17="SÍ",C17=TRUE))),"¡LISTO P/ FINAL!","Faltan finales prev."))</f>
        <v/>
      </c>
      <c r="G33" s="9">
        <f>IF(OR(C33="SI",C33="SÍ",C33=TRUE),"✅ Materia Aprobada",IF(OR(B33="SI",B33="SÍ",B33=TRUE),"⏳ Regular (Adeuda Final)","⚪ Pendiente"))</f>
        <v/>
      </c>
    </row>
    <row r="34" ht="20" customHeight="1">
      <c r="A34" s="11" t="inlineStr">
        <is>
          <t>Taller Filosofía y Educación</t>
        </is>
      </c>
      <c r="B34" s="9" t="inlineStr">
        <is>
          <t>NO</t>
        </is>
      </c>
      <c r="C34" s="9" t="inlineStr">
        <is>
          <t>NO</t>
        </is>
      </c>
      <c r="D34" s="16" t="inlineStr">
        <is>
          <t>Historia de la Filosofía Antigua</t>
        </is>
      </c>
      <c r="E34" s="9">
        <f>IF(OR(B34="SI",B34="SÍ",B34=TRUE),"CURSADA REGULAR",IF(AND(OR(B18="SI",B18="SÍ",B18=TRUE)),"¡HABILITADA!","Faltan correlat."))</f>
        <v/>
      </c>
      <c r="F34" s="9">
        <f>IF(OR(C34="SI",C34="SÍ",C34=TRUE),"APROBADA",IF(AND(OR(B34="SI",B34="SÍ",B34=TRUE),AND(OR(C18="SI",C18="SÍ",C18=TRUE))),"¡LISTO P/ FINAL!","Faltan finales prev."))</f>
        <v/>
      </c>
      <c r="G34" s="9">
        <f>IF(OR(C34="SI",C34="SÍ",C34=TRUE),"✅ Materia Aprobada",IF(OR(B34="SI",B34="SÍ",B34=TRUE),"⏳ Regular (Adeuda Final)","⚪ Pendiente"))</f>
        <v/>
      </c>
    </row>
    <row r="35" ht="20" customHeight="1">
      <c r="A35" s="8" t="inlineStr">
        <is>
          <t>Teoría del Conocimiento</t>
        </is>
      </c>
      <c r="B35" s="9" t="inlineStr">
        <is>
          <t>NO</t>
        </is>
      </c>
      <c r="C35" s="9" t="inlineStr">
        <is>
          <t>NO</t>
        </is>
      </c>
      <c r="D35" s="17" t="inlineStr">
        <is>
          <t>Historia de la Filosofía Antigua</t>
        </is>
      </c>
      <c r="E35" s="9">
        <f>IF(OR(B35="SI",B35="SÍ",B35=TRUE),"CURSADA REGULAR",IF(AND(OR(B18="SI",B18="SÍ",B18=TRUE)),"¡HABILITADA!","Faltan correlat."))</f>
        <v/>
      </c>
      <c r="F35" s="9">
        <f>IF(OR(C35="SI",C35="SÍ",C35=TRUE),"APROBADA",IF(AND(OR(B35="SI",B35="SÍ",B35=TRUE),AND(OR(C18="SI",C18="SÍ",C18=TRUE))),"¡LISTO P/ FINAL!","Faltan finales prev."))</f>
        <v/>
      </c>
      <c r="G35" s="9">
        <f>IF(OR(C35="SI",C35="SÍ",C35=TRUE),"✅ Materia Aprobada",IF(OR(B35="SI",B35="SÍ",B35=TRUE),"⏳ Regular (Adeuda Final)","⚪ Pendiente"))</f>
        <v/>
      </c>
    </row>
    <row r="36" ht="20" customHeight="1">
      <c r="A36" s="11" t="inlineStr">
        <is>
          <t>Ética</t>
        </is>
      </c>
      <c r="B36" s="9" t="inlineStr">
        <is>
          <t>NO</t>
        </is>
      </c>
      <c r="C36" s="9" t="inlineStr">
        <is>
          <t>NO</t>
        </is>
      </c>
      <c r="D36" s="16" t="inlineStr">
        <is>
          <t>Introducción a la Filosofía</t>
        </is>
      </c>
      <c r="E36" s="9">
        <f>IF(OR(B36="SI",B36="SÍ",B36=TRUE),"CURSADA REGULAR",IF(AND(OR(B6="SI",B6="SÍ",B6=TRUE)),"¡HABILITADA!","Faltan correlat."))</f>
        <v/>
      </c>
      <c r="F36" s="9">
        <f>IF(OR(C36="SI",C36="SÍ",C36=TRUE),"APROBADA",IF(AND(OR(B36="SI",B36="SÍ",B36=TRUE),AND(OR(C6="SI",C6="SÍ",C6=TRUE))),"¡LISTO P/ FINAL!","Faltan finales prev."))</f>
        <v/>
      </c>
      <c r="G36" s="9">
        <f>IF(OR(C36="SI",C36="SÍ",C36=TRUE),"✅ Materia Aprobada",IF(OR(B36="SI",B36="SÍ",B36=TRUE),"⏳ Regular (Adeuda Final)","⚪ Pendiente"))</f>
        <v/>
      </c>
    </row>
    <row r="37" ht="24" customHeight="1">
      <c r="A37" s="5" t="inlineStr">
        <is>
          <t>📌 CUARTO AÑO</t>
        </is>
      </c>
    </row>
    <row r="38" ht="20" customHeight="1">
      <c r="A38" s="11" t="inlineStr">
        <is>
          <t>Historia de la Filosofía Moderna</t>
        </is>
      </c>
      <c r="B38" s="9" t="inlineStr">
        <is>
          <t>NO</t>
        </is>
      </c>
      <c r="C38" s="9" t="inlineStr">
        <is>
          <t>NO</t>
        </is>
      </c>
      <c r="D38" s="16" t="inlineStr">
        <is>
          <t>Historia de la Filosofía Medieval</t>
        </is>
      </c>
      <c r="E38" s="9">
        <f>IF(OR(B38="SI",B38="SÍ",B38=TRUE),"CURSADA REGULAR",IF(AND(OR(B28="SI",B28="SÍ",B28=TRUE)),"¡HABILITADA!","Faltan correlat."))</f>
        <v/>
      </c>
      <c r="F38" s="9">
        <f>IF(OR(C38="SI",C38="SÍ",C38=TRUE),"APROBADA",IF(AND(OR(B38="SI",B38="SÍ",B38=TRUE),AND(OR(C28="SI",C28="SÍ",C28=TRUE))),"¡LISTO P/ FINAL!","Faltan finales prev."))</f>
        <v/>
      </c>
      <c r="G38" s="9">
        <f>IF(OR(C38="SI",C38="SÍ",C38=TRUE),"✅ Materia Aprobada",IF(OR(B38="SI",B38="SÍ",B38=TRUE),"⏳ Regular (Adeuda Final)","⚪ Pendiente"))</f>
        <v/>
      </c>
    </row>
    <row r="39" ht="20" customHeight="1">
      <c r="A39" s="8" t="inlineStr">
        <is>
          <t>Filosofía Política</t>
        </is>
      </c>
      <c r="B39" s="9" t="inlineStr">
        <is>
          <t>NO</t>
        </is>
      </c>
      <c r="C39" s="9" t="inlineStr">
        <is>
          <t>NO</t>
        </is>
      </c>
      <c r="D39" s="17" t="inlineStr">
        <is>
          <t>Filosofía Argentina y Latinoamericana, Ética</t>
        </is>
      </c>
      <c r="E39" s="9">
        <f>IF(OR(B39="SI",B39="SÍ",B39=TRUE),"CURSADA REGULAR",IF(AND(OR(B19="SI",B19="SÍ",B19=TRUE),OR(B36="SI",B36="SÍ",B36=TRUE)),"¡HABILITADA!","Faltan correlat."))</f>
        <v/>
      </c>
      <c r="F39" s="9">
        <f>IF(OR(C39="SI",C39="SÍ",C39=TRUE),"APROBADA",IF(AND(OR(B39="SI",B39="SÍ",B39=TRUE),AND(OR(C19="SI",C19="SÍ",C19=TRUE),OR(C36="SI",C36="SÍ",C36=TRUE))),"¡LISTO P/ FINAL!","Faltan finales prev."))</f>
        <v/>
      </c>
      <c r="G39" s="9">
        <f>IF(OR(C39="SI",C39="SÍ",C39=TRUE),"✅ Materia Aprobada",IF(OR(B39="SI",B39="SÍ",B39=TRUE),"⏳ Regular (Adeuda Final)","⚪ Pendiente"))</f>
        <v/>
      </c>
    </row>
    <row r="40" ht="20" customHeight="1">
      <c r="A40" s="11" t="inlineStr">
        <is>
          <t>Filosofía del Lenguaje</t>
        </is>
      </c>
      <c r="B40" s="9" t="inlineStr">
        <is>
          <t>NO</t>
        </is>
      </c>
      <c r="C40" s="9" t="inlineStr">
        <is>
          <t>NO</t>
        </is>
      </c>
      <c r="D40" s="16" t="inlineStr">
        <is>
          <t>Filosofía de la Lógica</t>
        </is>
      </c>
      <c r="E40" s="9">
        <f>IF(OR(B40="SI",B40="SÍ",B40=TRUE),"CURSADA REGULAR",IF(AND(OR(B27="SI",B27="SÍ",B27=TRUE)),"¡HABILITADA!","Faltan correlat."))</f>
        <v/>
      </c>
      <c r="F40" s="9">
        <f>IF(OR(C40="SI",C40="SÍ",C40=TRUE),"APROBADA",IF(AND(OR(B40="SI",B40="SÍ",B40=TRUE),AND(OR(C27="SI",C27="SÍ",C27=TRUE))),"¡LISTO P/ FINAL!","Faltan finales prev."))</f>
        <v/>
      </c>
      <c r="G40" s="9">
        <f>IF(OR(C40="SI",C40="SÍ",C40=TRUE),"✅ Materia Aprobada",IF(OR(B40="SI",B40="SÍ",B40=TRUE),"⏳ Regular (Adeuda Final)","⚪ Pendiente"))</f>
        <v/>
      </c>
    </row>
    <row r="41" ht="20" customHeight="1">
      <c r="A41" s="8" t="inlineStr">
        <is>
          <t>Antropología Filosófica</t>
        </is>
      </c>
      <c r="B41" s="9" t="inlineStr">
        <is>
          <t>NO</t>
        </is>
      </c>
      <c r="C41" s="9" t="inlineStr">
        <is>
          <t>NO</t>
        </is>
      </c>
      <c r="D41" s="17" t="inlineStr">
        <is>
          <t>Historia de la Filosofía Antigua</t>
        </is>
      </c>
      <c r="E41" s="9">
        <f>IF(OR(B41="SI",B41="SÍ",B41=TRUE),"CURSADA REGULAR",IF(AND(OR(B18="SI",B18="SÍ",B18=TRUE)),"¡HABILITADA!","Faltan correlat."))</f>
        <v/>
      </c>
      <c r="F41" s="9">
        <f>IF(OR(C41="SI",C41="SÍ",C41=TRUE),"APROBADA",IF(AND(OR(B41="SI",B41="SÍ",B41=TRUE),AND(OR(C18="SI",C18="SÍ",C18=TRUE))),"¡LISTO P/ FINAL!","Faltan finales prev."))</f>
        <v/>
      </c>
      <c r="G41" s="9">
        <f>IF(OR(C41="SI",C41="SÍ",C41=TRUE),"✅ Materia Aprobada",IF(OR(B41="SI",B41="SÍ",B41=TRUE),"⏳ Regular (Adeuda Final)","⚪ Pendiente"))</f>
        <v/>
      </c>
    </row>
    <row r="42" ht="20" customHeight="1">
      <c r="A42" s="11" t="inlineStr">
        <is>
          <t>Estética</t>
        </is>
      </c>
      <c r="B42" s="9" t="inlineStr">
        <is>
          <t>NO</t>
        </is>
      </c>
      <c r="C42" s="9" t="inlineStr">
        <is>
          <t>NO</t>
        </is>
      </c>
      <c r="D42" s="16" t="inlineStr">
        <is>
          <t>Historia del Arte</t>
        </is>
      </c>
      <c r="E42" s="9">
        <f>IF(OR(B42="SI",B42="SÍ",B42=TRUE),"CURSADA REGULAR",IF(AND(OR(B20="SI",B20="SÍ",B20=TRUE)),"¡HABILITADA!","Faltan correlat."))</f>
        <v/>
      </c>
      <c r="F42" s="9">
        <f>IF(OR(C42="SI",C42="SÍ",C42=TRUE),"APROBADA",IF(AND(OR(B42="SI",B42="SÍ",B42=TRUE),AND(OR(C20="SI",C20="SÍ",C20=TRUE))),"¡LISTO P/ FINAL!","Faltan finales prev."))</f>
        <v/>
      </c>
      <c r="G42" s="9">
        <f>IF(OR(C42="SI",C42="SÍ",C42=TRUE),"✅ Materia Aprobada",IF(OR(B42="SI",B42="SÍ",B42=TRUE),"⏳ Regular (Adeuda Final)","⚪ Pendiente"))</f>
        <v/>
      </c>
    </row>
    <row r="43" ht="20" customHeight="1">
      <c r="A43" s="8" t="inlineStr">
        <is>
          <t>Práctica Docente 1</t>
        </is>
      </c>
      <c r="B43" s="9" t="inlineStr">
        <is>
          <t>NO</t>
        </is>
      </c>
      <c r="C43" s="9" t="inlineStr">
        <is>
          <t>NO</t>
        </is>
      </c>
      <c r="D43" s="17" t="inlineStr">
        <is>
          <t>Taller de Didáctica de la Filosofía y Prod. Materiales, Trabajo de Campo 3</t>
        </is>
      </c>
      <c r="E43" s="9">
        <f>IF(OR(B43="SI",B43="SÍ",B43=TRUE),"CURSADA REGULAR",IF(AND(OR(B32="SI",B32="SÍ",B32=TRUE),OR(B31="SI",B31="SÍ",B31=TRUE)),"¡HABILITADA!","Faltan correlat."))</f>
        <v/>
      </c>
      <c r="F43" s="9">
        <f>IF(OR(C43="SI",C43="SÍ",C43=TRUE),"APROBADA",IF(AND(OR(B43="SI",B43="SÍ",B43=TRUE),AND(OR(C32="SI",C32="SÍ",C32=TRUE),OR(C31="SI",C31="SÍ",C31=TRUE))),"¡LISTO P/ FINAL!","Faltan finales prev."))</f>
        <v/>
      </c>
      <c r="G43" s="9">
        <f>IF(OR(C43="SI",C43="SÍ",C43=TRUE),"✅ Materia Aprobada",IF(OR(B43="SI",B43="SÍ",B43=TRUE),"⏳ Regular (Adeuda Final)","⚪ Pendiente"))</f>
        <v/>
      </c>
    </row>
    <row r="44" ht="24" customHeight="1">
      <c r="A44" s="5" t="inlineStr">
        <is>
          <t>📌 QUINTO AÑO</t>
        </is>
      </c>
    </row>
    <row r="45" ht="20" customHeight="1">
      <c r="A45" s="8" t="inlineStr">
        <is>
          <t>Historia de la Filosofía Contemporánea</t>
        </is>
      </c>
      <c r="B45" s="9" t="inlineStr">
        <is>
          <t>NO</t>
        </is>
      </c>
      <c r="C45" s="9" t="inlineStr">
        <is>
          <t>NO</t>
        </is>
      </c>
      <c r="D45" s="17" t="inlineStr">
        <is>
          <t>Historia de la Filosofía Moderna</t>
        </is>
      </c>
      <c r="E45" s="9">
        <f>IF(OR(B45="SI",B45="SÍ",B45=TRUE),"CURSADA REGULAR",IF(AND(OR(B38="SI",B38="SÍ",B38=TRUE)),"¡HABILITADA!","Faltan correlat."))</f>
        <v/>
      </c>
      <c r="F45" s="9">
        <f>IF(OR(C45="SI",C45="SÍ",C45=TRUE),"APROBADA",IF(AND(OR(B45="SI",B45="SÍ",B45=TRUE),AND(OR(C38="SI",C38="SÍ",C38=TRUE))),"¡LISTO P/ FINAL!","Faltan finales prev."))</f>
        <v/>
      </c>
      <c r="G45" s="9">
        <f>IF(OR(C45="SI",C45="SÍ",C45=TRUE),"✅ Materia Aprobada",IF(OR(B45="SI",B45="SÍ",B45=TRUE),"⏳ Regular (Adeuda Final)","⚪ Pendiente"))</f>
        <v/>
      </c>
    </row>
    <row r="46" ht="20" customHeight="1">
      <c r="A46" s="11" t="inlineStr">
        <is>
          <t>Filosofía del Derecho</t>
        </is>
      </c>
      <c r="B46" s="9" t="inlineStr">
        <is>
          <t>NO</t>
        </is>
      </c>
      <c r="C46" s="9" t="inlineStr">
        <is>
          <t>NO</t>
        </is>
      </c>
      <c r="D46" s="16" t="inlineStr">
        <is>
          <t>Filosofía Política</t>
        </is>
      </c>
      <c r="E46" s="9">
        <f>IF(OR(B46="SI",B46="SÍ",B46=TRUE),"CURSADA REGULAR",IF(AND(OR(B39="SI",B39="SÍ",B39=TRUE)),"¡HABILITADA!","Faltan correlat."))</f>
        <v/>
      </c>
      <c r="F46" s="9">
        <f>IF(OR(C46="SI",C46="SÍ",C46=TRUE),"APROBADA",IF(AND(OR(B46="SI",B46="SÍ",B46=TRUE),AND(OR(C39="SI",C39="SÍ",C39=TRUE))),"¡LISTO P/ FINAL!","Faltan finales prev."))</f>
        <v/>
      </c>
      <c r="G46" s="9">
        <f>IF(OR(C46="SI",C46="SÍ",C46=TRUE),"✅ Materia Aprobada",IF(OR(B46="SI",B46="SÍ",B46=TRUE),"⏳ Regular (Adeuda Final)","⚪ Pendiente"))</f>
        <v/>
      </c>
    </row>
    <row r="47" ht="20" customHeight="1">
      <c r="A47" s="8" t="inlineStr">
        <is>
          <t>Filosofía de la Religión</t>
        </is>
      </c>
      <c r="B47" s="9" t="inlineStr">
        <is>
          <t>NO</t>
        </is>
      </c>
      <c r="C47" s="9" t="inlineStr">
        <is>
          <t>NO</t>
        </is>
      </c>
      <c r="D47" s="17" t="inlineStr">
        <is>
          <t>Historia de la Filosofía Medieval</t>
        </is>
      </c>
      <c r="E47" s="9">
        <f>IF(OR(B47="SI",B47="SÍ",B47=TRUE),"CURSADA REGULAR",IF(AND(OR(B28="SI",B28="SÍ",B28=TRUE)),"¡HABILITADA!","Faltan correlat."))</f>
        <v/>
      </c>
      <c r="F47" s="9">
        <f>IF(OR(C47="SI",C47="SÍ",C47=TRUE),"APROBADA",IF(AND(OR(B47="SI",B47="SÍ",B47=TRUE),AND(OR(C28="SI",C28="SÍ",C28=TRUE))),"¡LISTO P/ FINAL!","Faltan finales prev."))</f>
        <v/>
      </c>
      <c r="G47" s="9">
        <f>IF(OR(C47="SI",C47="SÍ",C47=TRUE),"✅ Materia Aprobada",IF(OR(B47="SI",B47="SÍ",B47=TRUE),"⏳ Regular (Adeuda Final)","⚪ Pendiente"))</f>
        <v/>
      </c>
    </row>
    <row r="48" ht="20" customHeight="1">
      <c r="A48" s="11" t="inlineStr">
        <is>
          <t>Filosofía de la Historia</t>
        </is>
      </c>
      <c r="B48" s="9" t="inlineStr">
        <is>
          <t>NO</t>
        </is>
      </c>
      <c r="C48" s="9" t="inlineStr">
        <is>
          <t>NO</t>
        </is>
      </c>
      <c r="D48" s="16" t="inlineStr">
        <is>
          <t>Historia de la Filosofía Moderna</t>
        </is>
      </c>
      <c r="E48" s="9">
        <f>IF(OR(B48="SI",B48="SÍ",B48=TRUE),"CURSADA REGULAR",IF(AND(OR(B38="SI",B38="SÍ",B38=TRUE)),"¡HABILITADA!","Faltan correlat."))</f>
        <v/>
      </c>
      <c r="F48" s="9">
        <f>IF(OR(C48="SI",C48="SÍ",C48=TRUE),"APROBADA",IF(AND(OR(B48="SI",B48="SÍ",B48=TRUE),AND(OR(C38="SI",C38="SÍ",C38=TRUE))),"¡LISTO P/ FINAL!","Faltan finales prev."))</f>
        <v/>
      </c>
      <c r="G48" s="9">
        <f>IF(OR(C48="SI",C48="SÍ",C48=TRUE),"✅ Materia Aprobada",IF(OR(B48="SI",B48="SÍ",B48=TRUE),"⏳ Regular (Adeuda Final)","⚪ Pendiente"))</f>
        <v/>
      </c>
    </row>
    <row r="49" ht="20" customHeight="1">
      <c r="A49" s="8" t="inlineStr">
        <is>
          <t>Filosofía de la Ciencia</t>
        </is>
      </c>
      <c r="B49" s="9" t="inlineStr">
        <is>
          <t>NO</t>
        </is>
      </c>
      <c r="C49" s="9" t="inlineStr">
        <is>
          <t>NO</t>
        </is>
      </c>
      <c r="D49" s="17" t="inlineStr">
        <is>
          <t>Historia de la Ciencia, Teoría del Conocimiento</t>
        </is>
      </c>
      <c r="E49" s="9">
        <f>IF(OR(B49="SI",B49="SÍ",B49=TRUE),"CURSADA REGULAR",IF(AND(OR(B30="SI",B30="SÍ",B30=TRUE),OR(B35="SI",B35="SÍ",B35=TRUE)),"¡HABILITADA!","Faltan correlat."))</f>
        <v/>
      </c>
      <c r="F49" s="9">
        <f>IF(OR(C49="SI",C49="SÍ",C49=TRUE),"APROBADA",IF(AND(OR(B49="SI",B49="SÍ",B49=TRUE),AND(OR(C30="SI",C30="SÍ",C30=TRUE),OR(C35="SI",C35="SÍ",C35=TRUE))),"¡LISTO P/ FINAL!","Faltan finales prev."))</f>
        <v/>
      </c>
      <c r="G49" s="9">
        <f>IF(OR(C49="SI",C49="SÍ",C49=TRUE),"✅ Materia Aprobada",IF(OR(B49="SI",B49="SÍ",B49=TRUE),"⏳ Regular (Adeuda Final)","⚪ Pendiente"))</f>
        <v/>
      </c>
    </row>
    <row r="50" ht="20" customHeight="1">
      <c r="A50" s="11" t="inlineStr">
        <is>
          <t>Práctica Docente 2 y Residencia</t>
        </is>
      </c>
      <c r="B50" s="9" t="inlineStr">
        <is>
          <t>NO</t>
        </is>
      </c>
      <c r="C50" s="9" t="inlineStr">
        <is>
          <t>NO</t>
        </is>
      </c>
      <c r="D50" s="16" t="inlineStr">
        <is>
          <t>Práctica Docente 1</t>
        </is>
      </c>
      <c r="E50" s="9">
        <f>IF(OR(B50="SI",B50="SÍ",B50=TRUE),"CURSADA REGULAR",IF(AND(OR(B43="SI",B43="SÍ",B43=TRUE)),"¡HABILITADA!","Faltan correlat."))</f>
        <v/>
      </c>
      <c r="F50" s="9">
        <f>IF(OR(C50="SI",C50="SÍ",C50=TRUE),"APROBADA",IF(AND(OR(B50="SI",B50="SÍ",B50=TRUE),AND(OR(C43="SI",C43="SÍ",C43=TRUE))),"¡LISTO P/ FINAL!","Faltan finales prev."))</f>
        <v/>
      </c>
      <c r="G50" s="9">
        <f>IF(OR(C50="SI",C50="SÍ",C50=TRUE),"✅ Materia Aprobada",IF(OR(B50="SI",B50="SÍ",B50=TRUE),"⏳ Regular (Adeuda Final)","⚪ Pendiente"))</f>
        <v/>
      </c>
    </row>
  </sheetData>
  <mergeCells count="15">
    <mergeCell ref="I14:J14"/>
    <mergeCell ref="A44:G44"/>
    <mergeCell ref="I12:J12"/>
    <mergeCell ref="A1:G1"/>
    <mergeCell ref="I16:J16"/>
    <mergeCell ref="I3:J3"/>
    <mergeCell ref="I15:J15"/>
    <mergeCell ref="A4:G4"/>
    <mergeCell ref="I11:J11"/>
    <mergeCell ref="A2:G2"/>
    <mergeCell ref="A15:G15"/>
    <mergeCell ref="I13:J13"/>
    <mergeCell ref="A25:G25"/>
    <mergeCell ref="I17:J17"/>
    <mergeCell ref="A37:G37"/>
  </mergeCells>
  <dataValidations count="1">
    <dataValidation sqref="B5 B6 B7 B8 B9 B10 B11 B12 B13 B14 B16 B17 B18 B19 B20 B21 B22 B23 B24 B26 B27 B28 B29 B30 B31 B32 B33 B34 B35 B36 B38 B39 B40 B41 B42 B43 B45 B46 B47 B48 B49 B50 C5 C6 C7 C8 C9 C10 C11 C12 C13 C14 C16 C17 C18 C19 C20 C21 C22 C23 C24 C26 C27 C28 C29 C30 C31 C32 C33 C34 C35 C36 C38 C39 C40 C41 C42 C43 C45 C46 C47 C48 C49 C50" showDropDown="0" showInputMessage="0" showErrorMessage="0" allowBlank="1" errorTitle="Opción no válida" error="Elegí una opción de la lista" promptTitle="Estado de Materia" prompt="Elegí SI o NO" type="list">
      <formula1>=Opciones!$A$1:$A$2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SI</t>
        </is>
      </c>
    </row>
    <row r="2">
      <c r="A2" t="inlineStr">
        <is>
          <t>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2026-08-28T19:50:27Z</dcterms:created>
  <dcterms:modified xmlns:dcterms="http://purl.org/dc/terms/" xmlns:xsi="http://www.w3.org/2001/XMLSchema-instance" xsi:type="dcterms:W3CDTF">2026-08-28T19:50:27Z</dcterms:modified>
</cp:coreProperties>
</file>