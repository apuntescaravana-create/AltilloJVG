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FILOSOFÍA</t>
        </is>
      </c>
      <c r="I1" s="2" t="inlineStr">
        <is>
          <t>CONTROL DE TRAYECTORIA</t>
        </is>
      </c>
    </row>
    <row r="2" ht="22" customHeight="1">
      <c r="A2" s="3" t="inlineStr">
        <is>
          <t>La Caravana + Estudiantes Independientes | Altillo JVG - ISP Joaquín V. González</t>
        </is>
      </c>
      <c r="I2" s="4" t="inlineStr">
        <is>
          <t>Total de Materias del Plan</t>
        </is>
      </c>
      <c r="J2" s="5" t="n">
        <v>33</v>
      </c>
    </row>
    <row r="3" ht="22" customHeight="1">
      <c r="I3" s="4" t="inlineStr">
        <is>
          <t>Materias con Cursada Regular</t>
        </is>
      </c>
      <c r="J3" s="5">
        <f>COUNTIF(B6:B42,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COUNTIF(C6:C42, "SI")</f>
        <v/>
      </c>
    </row>
    <row r="5" ht="22" customHeight="1">
      <c r="A5" s="7" t="inlineStr">
        <is>
          <t>📌 1° AÑO</t>
        </is>
      </c>
      <c r="I5" s="4" t="inlineStr">
        <is>
          <t>Finales Adeudados</t>
        </is>
      </c>
      <c r="J5" s="5">
        <f>COUNTIF(F6:F42, "ADEUDA FINAL")</f>
        <v/>
      </c>
    </row>
    <row r="6" ht="22" customHeight="1">
      <c r="A6" s="8" t="inlineStr">
        <is>
          <t>Introducción a la Filosofía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COUNTIF(B6:B42, "SI")/33</f>
        <v/>
      </c>
    </row>
    <row r="7" ht="22" customHeight="1">
      <c r="A7" s="8" t="inlineStr">
        <is>
          <t>Lógica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COUNTIF(C6:C42, "SI")/33</f>
        <v/>
      </c>
    </row>
    <row r="8" ht="20" customHeight="1">
      <c r="A8" s="8" t="inlineStr">
        <is>
          <t>Filosofía Antigua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Historia de la Filosofía Antigua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Pedagogía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I (LEO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Trabajo de Campo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Filosofía Medieval</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Gnoseología</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Antropología Filosófica</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Lógica II</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Didáctica General</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Psicología Educacional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Sujetos de la Educación</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Trabajo de Campo II</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2" customHeight="1">
      <c r="A22" s="7" t="inlineStr">
        <is>
          <t>📌 3° AÑO</t>
        </is>
      </c>
    </row>
    <row r="23" ht="20" customHeight="1">
      <c r="A23" s="8" t="inlineStr">
        <is>
          <t>Filosofía Moderna</t>
        </is>
      </c>
      <c r="B23" s="9" t="inlineStr">
        <is>
          <t>NO</t>
        </is>
      </c>
      <c r="C23" s="9" t="inlineStr">
        <is>
          <t>NO</t>
        </is>
      </c>
      <c r="D23" s="10" t="inlineStr">
        <is>
          <t>3° Año</t>
        </is>
      </c>
      <c r="E23" s="10">
        <f>IF(B23="SI", "REGULAR", "PENDIENTE")</f>
        <v/>
      </c>
      <c r="F23" s="10">
        <f>IF(C23="SI", "APROBADO", IF(B23="SI", "ADEUDA FINAL", "ADEUDA"))</f>
        <v/>
      </c>
      <c r="G23" s="11">
        <f>IF(C23="SI", "🟢 Aprobada", IF(B23="SI", "🟡 Regular", "🟣 Pendiente"))</f>
        <v/>
      </c>
    </row>
    <row r="24" ht="20" customHeight="1">
      <c r="A24" s="8" t="inlineStr">
        <is>
          <t>Metafísica</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Ética</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Filosofía Política</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Didáctica de la Filosofía</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Historia Social de la Educación</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Derechos Humanos, Sociedad y Estado</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Construcción de la Práctica Docente I</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2" customHeight="1">
      <c r="A31" s="7" t="inlineStr">
        <is>
          <t>📌 4° AÑO</t>
        </is>
      </c>
    </row>
    <row r="32" ht="20" customHeight="1">
      <c r="A32" s="8" t="inlineStr">
        <is>
          <t>Filosofía Contemporánea</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Filosofía Latinoamericana y Argentina</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Estética</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Filosofía de las Ciencias y Epistemología</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Educación Sexual Integral (ESI)</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Ética y Trabajo Docente</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Residencia y Construcción de la Práctica Docente II</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2" customHeight="1">
      <c r="A39" s="7" t="inlineStr">
        <is>
          <t>📌 TRAMO SUPERIOR / SEMINARIOS</t>
        </is>
      </c>
    </row>
    <row r="40" ht="20" customHeight="1">
      <c r="A40" s="8" t="inlineStr">
        <is>
          <t>Seminario de Textos Filosóficos I</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Seminario de Textos Filosóficos II</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row r="42" ht="20" customHeight="1">
      <c r="A42" s="8" t="inlineStr">
        <is>
          <t>Taller de Investigación en Filosofía</t>
        </is>
      </c>
      <c r="B42" s="9" t="inlineStr">
        <is>
          <t>NO</t>
        </is>
      </c>
      <c r="C42" s="9" t="inlineStr">
        <is>
          <t>NO</t>
        </is>
      </c>
      <c r="D42" s="10" t="inlineStr">
        <is>
          <t>Tramo Superior / Seminarios</t>
        </is>
      </c>
      <c r="E42" s="10">
        <f>IF(B42="SI", "REGULAR", "PENDIENTE")</f>
        <v/>
      </c>
      <c r="F42" s="10">
        <f>IF(C42="SI", "APROBADO", IF(B42="SI", "ADEUDA FINAL", "ADEUDA"))</f>
        <v/>
      </c>
      <c r="G42" s="11">
        <f>IF(C42="SI", "🟢 Aprobada", IF(B42="SI", "🟡 Regular", "🟣 Pendiente"))</f>
        <v/>
      </c>
    </row>
  </sheetData>
  <mergeCells count="15">
    <mergeCell ref="A13:G13"/>
    <mergeCell ref="I12:J12"/>
    <mergeCell ref="A1:G1"/>
    <mergeCell ref="A31:G31"/>
    <mergeCell ref="I15:J15"/>
    <mergeCell ref="I10:J10"/>
    <mergeCell ref="A22:G22"/>
    <mergeCell ref="A39:G39"/>
    <mergeCell ref="I1:K1"/>
    <mergeCell ref="I11:J11"/>
    <mergeCell ref="A2:G2"/>
    <mergeCell ref="I13:J13"/>
    <mergeCell ref="I14:J14"/>
    <mergeCell ref="I9:J9"/>
    <mergeCell ref="A5:G5"/>
  </mergeCells>
  <dataValidations count="1">
    <dataValidation sqref="B6 B7 B8 B9 B10 B11 B12 B14 B15 B16 B17 B18 B19 B20 B21 B23 B24 B25 B26 B27 B28 B29 B30 B32 B33 B34 B35 B36 B37 B38 B40 B41 B42 C6 C7 C8 C9 C10 C11 C12 C14 C15 C16 C17 C18 C19 C20 C21 C23 C24 C25 C26 C27 C28 C29 C30 C32 C33 C34 C35 C36 C37 C38 C40 C41 C42"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2026-08-31T01:11:53Z</dcterms:created>
  <dcterms:modified xmlns:dcterms="http://purl.org/dc/terms/" xmlns:xsi="http://www.w3.org/2001/XMLSchema-instance" xsi:type="dcterms:W3CDTF">2026-08-31T01:11:53Z</dcterms:modified>
</cp:coreProperties>
</file>