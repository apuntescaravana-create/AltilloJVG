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FILOSOFÍA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45</v>
      </c>
    </row>
    <row r="5" ht="24" customHeight="1">
      <c r="A5" s="8" t="inlineStr">
        <is>
          <t>INTRODUCCION A LA FILOSOFIA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COUNTIF(B4:B54, "S*") + COUNTIF(B4:B54, TRUE)</f>
        <v/>
      </c>
    </row>
    <row r="6" ht="24" customHeight="1">
      <c r="A6" s="11" t="inlineStr">
        <is>
          <t>LECTURA, ESCRITURA Y ORALIDAD I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COUNTIF(C4:C54, "S*") + COUNTIF(C4:C54, TRUE)</f>
        <v/>
      </c>
    </row>
    <row r="7" ht="24" customHeight="1">
      <c r="A7" s="8" t="inlineStr">
        <is>
          <t>LOGICA I Y TEORIA DE LA ARGUMENTACION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PEDAGOGIA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J5/45</f>
        <v/>
      </c>
    </row>
    <row r="9" ht="24" customHeight="1">
      <c r="A9" s="8" t="inlineStr">
        <is>
          <t>PSICOLOGIA EDUCACIONAL (1° Cuat.)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1° Año</t>
        </is>
      </c>
      <c r="E9" s="9">
        <f>IF(OR(B9="SI",B9="SÍ",B9=TRUE),"REGULAR","PENDIENTE")</f>
        <v/>
      </c>
      <c r="F9" s="9">
        <f>IF(OR(C9="SI",C9="SÍ",C9=TRUE),"APROBADA",IF(OR(B9="SI",B9="SÍ",B9=TRUE),"RINDE FINAL","ADEUDA"))</f>
        <v/>
      </c>
      <c r="G9" s="9">
        <f>IF(OR(C9="SI",C9="SÍ",C9=TRUE),"✅ Aprobada",IF(OR(B9="SI",B9="SÍ",B9=TRUE),"⏳ Cursada (Rinde Final)","⚪ Pendiente"))</f>
        <v/>
      </c>
      <c r="I9" s="6" t="inlineStr">
        <is>
          <t>% Carrera Aprobada (Finales)</t>
        </is>
      </c>
      <c r="J9" s="13">
        <f>J6/45</f>
        <v/>
      </c>
    </row>
    <row r="10" ht="20" customHeight="1">
      <c r="A10" s="11" t="inlineStr">
        <is>
          <t>SOCIOLOGIA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1°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TRABAJO DE CAMPO I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1°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5" t="inlineStr">
        <is>
          <t>📌 2° AÑO</t>
        </is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DIDACTICA GENERAL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2°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11" t="inlineStr">
        <is>
          <t>FILOSOFIA ARGENTINA Y LATINOAMERICANA</t>
        </is>
      </c>
      <c r="B14" s="9" t="inlineStr">
        <is>
          <t>NO</t>
        </is>
      </c>
      <c r="C14" s="9" t="inlineStr">
        <is>
          <t>NO</t>
        </is>
      </c>
      <c r="D14" s="12" t="inlineStr">
        <is>
          <t>2° Año</t>
        </is>
      </c>
      <c r="E14" s="9">
        <f>IF(OR(B14="SI",B14="SÍ",B14=TRUE),"REGULAR","PENDIENTE")</f>
        <v/>
      </c>
      <c r="F14" s="9">
        <f>IF(OR(C14="SI",C14="SÍ",C14=TRUE),"APROBADA",IF(OR(B14="SI",B14="SÍ",B14=TRUE),"RINDE FINAL","ADEUDA"))</f>
        <v/>
      </c>
      <c r="G14" s="9">
        <f>IF(OR(C14="SI",C14="SÍ",C14=TRUE),"✅ Aprobada",IF(OR(B14="SI",B14="SÍ",B14=TRUE),"⏳ Cursada (Rinde Final)","⚪ Pendiente"))</f>
        <v/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HISTORIA DE LA EDUCACION ARGENTINA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2°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HISTORIA DE LA FILOSOFIA ANTIGUA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2°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HISTORIA DEL ARTE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2°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LECTURA, ESCRITA Y ORALIDAD II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2°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0" customHeight="1">
      <c r="A19" s="8" t="inlineStr">
        <is>
          <t>METODOLOGIA DE LA INVESTIGACION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2° Año</t>
        </is>
      </c>
      <c r="E19" s="9">
        <f>IF(OR(B19="SI",B19="SÍ",B19=TRUE),"REGULAR","PENDIENTE")</f>
        <v/>
      </c>
      <c r="F19" s="9">
        <f>IF(OR(C19="SI",C19="SÍ",C19=TRUE),"APROBADA",IF(OR(B19="SI",B19="SÍ",B19=TRUE),"RINDE FINAL","ADEUDA"))</f>
        <v/>
      </c>
      <c r="G19" s="9">
        <f>IF(OR(C19="SI",C19="SÍ",C19=TRUE),"✅ Aprobada",IF(OR(B19="SI",B19="SÍ",B19=TRUE),"⏳ Cursada (Rinde Final)","⚪ Pendiente"))</f>
        <v/>
      </c>
    </row>
    <row r="20" ht="20" customHeight="1">
      <c r="A20" s="11" t="inlineStr">
        <is>
          <t>NUEVAS TECNOLOGIAS (1° CUATR.)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2°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TRABAJO DE CAMPO II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2°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4" customHeight="1">
      <c r="A22" s="5" t="inlineStr">
        <is>
          <t>📌 3° AÑO</t>
        </is>
      </c>
    </row>
    <row r="23" ht="20" customHeight="1">
      <c r="A23" s="8" t="inlineStr">
        <is>
          <t>ETICA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3°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0" customHeight="1">
      <c r="A24" s="11" t="inlineStr">
        <is>
          <t>HISTORIA DE LA CIENCIA "A"</t>
        </is>
      </c>
      <c r="B24" s="9" t="inlineStr">
        <is>
          <t>NO</t>
        </is>
      </c>
      <c r="C24" s="9" t="inlineStr">
        <is>
          <t>NO</t>
        </is>
      </c>
      <c r="D24" s="12" t="inlineStr">
        <is>
          <t>3° Año</t>
        </is>
      </c>
      <c r="E24" s="9">
        <f>IF(OR(B24="SI",B24="SÍ",B24=TRUE),"REGULAR","PENDIENTE")</f>
        <v/>
      </c>
      <c r="F24" s="9">
        <f>IF(OR(C24="SI",C24="SÍ",C24=TRUE),"APROBADA",IF(OR(B24="SI",B24="SÍ",B24=TRUE),"RINDE FINAL","ADEUDA"))</f>
        <v/>
      </c>
      <c r="G24" s="9">
        <f>IF(OR(C24="SI",C24="SÍ",C24=TRUE),"✅ Aprobada",IF(OR(B24="SI",B24="SÍ",B24=TRUE),"⏳ Cursada (Rinde Final)","⚪ Pendiente"))</f>
        <v/>
      </c>
    </row>
    <row r="25" ht="20" customHeight="1">
      <c r="A25" s="8" t="inlineStr">
        <is>
          <t>HISTORIA DE LA FILOSOFIA MEDIEVAL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3° Año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LOGICA II (1° Cuat.)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3° Año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METAFISICA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3° Año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SISTEMA Y POLITICA EDUCATIVA (1° CUATR.)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3° Año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0" customHeight="1">
      <c r="A29" s="8" t="inlineStr">
        <is>
          <t>TALLER DIDACT.DE LA FILO Y PROD.MAT.ED</t>
        </is>
      </c>
      <c r="B29" s="9" t="inlineStr">
        <is>
          <t>NO</t>
        </is>
      </c>
      <c r="C29" s="9" t="inlineStr">
        <is>
          <t>NO</t>
        </is>
      </c>
      <c r="D29" s="10" t="inlineStr">
        <is>
          <t>3° Año</t>
        </is>
      </c>
      <c r="E29" s="9">
        <f>IF(OR(B29="SI",B29="SÍ",B29=TRUE),"REGULAR","PENDIENTE")</f>
        <v/>
      </c>
      <c r="F29" s="9">
        <f>IF(OR(C29="SI",C29="SÍ",C29=TRUE),"APROBADA",IF(OR(B29="SI",B29="SÍ",B29=TRUE),"RINDE FINAL","ADEUDA"))</f>
        <v/>
      </c>
      <c r="G29" s="9">
        <f>IF(OR(C29="SI",C29="SÍ",C29=TRUE),"✅ Aprobada",IF(OR(B29="SI",B29="SÍ",B29=TRUE),"⏳ Cursada (Rinde Final)","⚪ Pendiente"))</f>
        <v/>
      </c>
    </row>
    <row r="30" ht="20" customHeight="1">
      <c r="A30" s="11" t="inlineStr">
        <is>
          <t>TALLER FILOSOFIA Y EDUCACION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3° Año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TEORIA DEL CONOCIMIENTO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3° Año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TRABAJO DE CAMPO III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3° Año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4" customHeight="1">
      <c r="A33" s="5" t="inlineStr">
        <is>
          <t>📌 4° AÑO</t>
        </is>
      </c>
    </row>
    <row r="34" ht="20" customHeight="1">
      <c r="A34" s="11" t="inlineStr">
        <is>
          <t>ESTETICA</t>
        </is>
      </c>
      <c r="B34" s="9" t="inlineStr">
        <is>
          <t>NO</t>
        </is>
      </c>
      <c r="C34" s="9" t="inlineStr">
        <is>
          <t>NO</t>
        </is>
      </c>
      <c r="D34" s="12" t="inlineStr">
        <is>
          <t>4° Año</t>
        </is>
      </c>
      <c r="E34" s="9">
        <f>IF(OR(B34="SI",B34="SÍ",B34=TRUE),"REGULAR","PENDIENTE")</f>
        <v/>
      </c>
      <c r="F34" s="9">
        <f>IF(OR(C34="SI",C34="SÍ",C34=TRUE),"APROBADA",IF(OR(B34="SI",B34="SÍ",B34=TRUE),"RINDE FINAL","ADEUDA"))</f>
        <v/>
      </c>
      <c r="G34" s="9">
        <f>IF(OR(C34="SI",C34="SÍ",C34=TRUE),"✅ Aprobada",IF(OR(B34="SI",B34="SÍ",B34=TRUE),"⏳ Cursada (Rinde Final)","⚪ Pendiente"))</f>
        <v/>
      </c>
    </row>
    <row r="35" ht="20" customHeight="1">
      <c r="A35" s="8" t="inlineStr">
        <is>
          <t>FILOSOFIA DEL LENGUAJE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4° Año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0" customHeight="1">
      <c r="A36" s="11" t="inlineStr">
        <is>
          <t>FILOSOFIA POLITICA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4° Año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HISTORIA DE LA FILOSOFIA MODERNA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4° Año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SEMINARIO DE ANTROPOLOGÍA FILOSÓFICA "A"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4° Año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SEMINARIO DE FILOSOFIA ANTIGUA Y MEDIEVAL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4° Año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4" customHeight="1">
      <c r="A40" s="5" t="inlineStr">
        <is>
          <t>📌 5° AÑO (NIVEL SUPERIOR / TRAMO SUPERIOR)</t>
        </is>
      </c>
    </row>
    <row r="41" ht="20" customHeight="1">
      <c r="A41" s="8" t="inlineStr">
        <is>
          <t>ANTROPOLOGIA CULTURAL (OPTATIVA I)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5° Año (Nivel Superior / Tramo Superior)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FILOSOFIA CONTEMPORANEA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5° Año (Nivel Superior / Tramo Superior)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FILOSOFIA DE GENERO (OPTATIVA II)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5° Año (Nivel Superior / Tramo Superior)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FILOSOFIA DE LA CIENCIA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5° Año (Nivel Superior / Tramo Superior)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FILOSOFIA DE LA HISTORIA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5° Año (Nivel Superior / Tramo Superior)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FILOSOFIA DE LA RELIGION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5° Año (Nivel Superior / Tramo Superior)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RESIDENCIA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5° Año (Nivel Superior / Tramo Superior)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SEMINARIO DE FILOSOFIA MODERNA Y CONTEMPORANEA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5° Año (Nivel Superior / Tramo Superior)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0" customHeight="1">
      <c r="A49" s="8" t="inlineStr">
        <is>
          <t>SOCIEDAD, ESTADO Y DD HH</t>
        </is>
      </c>
      <c r="B49" s="9" t="inlineStr">
        <is>
          <t>NO</t>
        </is>
      </c>
      <c r="C49" s="9" t="inlineStr">
        <is>
          <t>NO</t>
        </is>
      </c>
      <c r="D49" s="10" t="inlineStr">
        <is>
          <t>5° Año (Nivel Superior / Tramo Superior)</t>
        </is>
      </c>
      <c r="E49" s="9">
        <f>IF(OR(B49="SI",B49="SÍ",B49=TRUE),"REGULAR","PENDIENTE")</f>
        <v/>
      </c>
      <c r="F49" s="9">
        <f>IF(OR(C49="SI",C49="SÍ",C49=TRUE),"APROBADA",IF(OR(B49="SI",B49="SÍ",B49=TRUE),"RINDE FINAL","ADEUDA"))</f>
        <v/>
      </c>
      <c r="G49" s="9">
        <f>IF(OR(C49="SI",C49="SÍ",C49=TRUE),"✅ Aprobada",IF(OR(B49="SI",B49="SÍ",B49=TRUE),"⏳ Cursada (Rinde Final)","⚪ Pendiente"))</f>
        <v/>
      </c>
    </row>
    <row r="50" ht="24" customHeight="1">
      <c r="A50" s="5" t="inlineStr">
        <is>
          <t>📌 6° AÑO (NIVEL SUPERIOR / TRAMO SUPERIOR)</t>
        </is>
      </c>
    </row>
    <row r="51" ht="20" customHeight="1">
      <c r="A51" s="8" t="inlineStr">
        <is>
          <t>Seminario de Especialización Superior II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6° Año (Nivel Superior / Tramo Superior)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0" customHeight="1">
      <c r="A52" s="11" t="inlineStr">
        <is>
          <t>Tesis / Trabajo Final de Licenciatura</t>
        </is>
      </c>
      <c r="B52" s="9" t="inlineStr">
        <is>
          <t>NO</t>
        </is>
      </c>
      <c r="C52" s="9" t="inlineStr">
        <is>
          <t>NO</t>
        </is>
      </c>
      <c r="D52" s="12" t="inlineStr">
        <is>
          <t>6° Año (Nivel Superior / Tramo Superior)</t>
        </is>
      </c>
      <c r="E52" s="9">
        <f>IF(OR(B52="SI",B52="SÍ",B52=TRUE),"REGULAR","PENDIENTE")</f>
        <v/>
      </c>
      <c r="F52" s="9">
        <f>IF(OR(C52="SI",C52="SÍ",C52=TRUE),"APROBADA",IF(OR(B52="SI",B52="SÍ",B52=TRUE),"RINDE FINAL","ADEUDA"))</f>
        <v/>
      </c>
      <c r="G52" s="9">
        <f>IF(OR(C52="SI",C52="SÍ",C52=TRUE),"✅ Aprobada",IF(OR(B52="SI",B52="SÍ",B52=TRUE),"⏳ Cursada (Rinde Final)","⚪ Pendiente"))</f>
        <v/>
      </c>
    </row>
    <row r="53" ht="20" customHeight="1">
      <c r="A53" s="8" t="inlineStr">
        <is>
          <t>Práctica de Nivel Superior II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6° Año (Nivel Superior / Tramo Superior)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  <row r="54" ht="20" customHeight="1">
      <c r="A54" s="11" t="inlineStr">
        <is>
          <t>Acreditación de Residencia Superior</t>
        </is>
      </c>
      <c r="B54" s="9" t="inlineStr">
        <is>
          <t>NO</t>
        </is>
      </c>
      <c r="C54" s="9" t="inlineStr">
        <is>
          <t>NO</t>
        </is>
      </c>
      <c r="D54" s="12" t="inlineStr">
        <is>
          <t>6° Año (Nivel Superior / Tramo Superior)</t>
        </is>
      </c>
      <c r="E54" s="9">
        <f>IF(OR(B54="SI",B54="SÍ",B54=TRUE),"REGULAR","PENDIENTE")</f>
        <v/>
      </c>
      <c r="F54" s="9">
        <f>IF(OR(C54="SI",C54="SÍ",C54=TRUE),"APROBADA",IF(OR(B54="SI",B54="SÍ",B54=TRUE),"RINDE FINAL","ADEUDA"))</f>
        <v/>
      </c>
      <c r="G54" s="9">
        <f>IF(OR(C54="SI",C54="SÍ",C54=TRUE),"✅ Aprobada",IF(OR(B54="SI",B54="SÍ",B54=TRUE),"⏳ Cursada (Rinde Final)","⚪ Pendiente"))</f>
        <v/>
      </c>
    </row>
  </sheetData>
  <mergeCells count="16">
    <mergeCell ref="I12:J12"/>
    <mergeCell ref="A1:G1"/>
    <mergeCell ref="A40:G40"/>
    <mergeCell ref="I16:J16"/>
    <mergeCell ref="I15:J15"/>
    <mergeCell ref="A22:G22"/>
    <mergeCell ref="A12:G12"/>
    <mergeCell ref="A4:G4"/>
    <mergeCell ref="A50:G50"/>
    <mergeCell ref="I11:J11"/>
    <mergeCell ref="A2:G2"/>
    <mergeCell ref="I13:J13"/>
    <mergeCell ref="I14:J14"/>
    <mergeCell ref="A33:G33"/>
    <mergeCell ref="I17:J17"/>
    <mergeCell ref="I3:J3"/>
  </mergeCells>
  <dataValidations count="1">
    <dataValidation sqref="B4:C54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2026-08-31T00:07:26Z</dcterms:created>
  <dcterms:modified xmlns:dcterms="http://purl.org/dc/terms/" xmlns:xsi="http://www.w3.org/2001/XMLSchema-instance" xsi:type="dcterms:W3CDTF">2026-08-31T00:07:26Z</dcterms:modified>
</cp:coreProperties>
</file>