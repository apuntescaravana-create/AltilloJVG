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CIENCIAS DE LA EDUCACIÓN</t>
        </is>
      </c>
      <c r="I1" s="2" t="inlineStr">
        <is>
          <t>CONTROL DE TRAYECTORIA</t>
        </is>
      </c>
    </row>
    <row r="2" ht="22" customHeight="1">
      <c r="A2" s="3" t="inlineStr">
        <is>
          <t>La Caravana + Estudiantes Independientes | Altillo JVG - ISP Joaquín V. González</t>
        </is>
      </c>
      <c r="I2" s="4" t="inlineStr">
        <is>
          <t>Total de Materias del Plan</t>
        </is>
      </c>
      <c r="J2" s="5" t="n">
        <v>45</v>
      </c>
    </row>
    <row r="3" ht="22" customHeight="1">
      <c r="I3" s="4" t="inlineStr">
        <is>
          <t>Materias con Cursada Regular</t>
        </is>
      </c>
      <c r="J3" s="5">
        <f>COUNTIF(B6:B55,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COUNTIF(C6:C55, "SI")</f>
        <v/>
      </c>
    </row>
    <row r="5" ht="22" customHeight="1">
      <c r="A5" s="7" t="inlineStr">
        <is>
          <t>📌 1° AÑO</t>
        </is>
      </c>
      <c r="I5" s="4" t="inlineStr">
        <is>
          <t>Finales Adeudados</t>
        </is>
      </c>
      <c r="J5" s="5">
        <f>COUNTIF(F6:F55, "ADEUDA FINAL")</f>
        <v/>
      </c>
    </row>
    <row r="6" ht="22" customHeight="1">
      <c r="A6" s="8" t="inlineStr">
        <is>
          <t>Pedagogía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COUNTIF(B6:B55, "SI")/45</f>
        <v/>
      </c>
    </row>
    <row r="7" ht="22" customHeight="1">
      <c r="A7" s="8" t="inlineStr">
        <is>
          <t>Lectura, Escritura y Oralidad I (LEO 1)</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COUNTIF(C6:C55, "SI")/45</f>
        <v/>
      </c>
    </row>
    <row r="8" ht="20" customHeight="1">
      <c r="A8" s="8" t="inlineStr">
        <is>
          <t>Antropología social y cultural</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Psicología General</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Bases biologicas de la subjetividad</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Filosofía</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Estudios culturales y educación</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Trabajo de Campo I</t>
        </is>
      </c>
      <c r="B13" s="9" t="inlineStr">
        <is>
          <t>NO</t>
        </is>
      </c>
      <c r="C13" s="9" t="inlineStr">
        <is>
          <t>NO</t>
        </is>
      </c>
      <c r="D13" s="10" t="inlineStr">
        <is>
          <t>1°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8" t="inlineStr">
        <is>
          <t>Esi</t>
        </is>
      </c>
      <c r="B14" s="9" t="inlineStr">
        <is>
          <t>NO</t>
        </is>
      </c>
      <c r="C14" s="9" t="inlineStr">
        <is>
          <t>NO</t>
        </is>
      </c>
      <c r="D14" s="10" t="inlineStr">
        <is>
          <t>1°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7" t="inlineStr">
        <is>
          <t>📌 2° AÑO</t>
        </is>
      </c>
      <c r="I15" s="14" t="inlineStr">
        <is>
          <t>6. Podes subir el archivo a tu Google Drive personal para editarlo online.</t>
        </is>
      </c>
    </row>
    <row r="16" ht="20" customHeight="1">
      <c r="A16" s="8" t="inlineStr">
        <is>
          <t>Psicología ciclos vitales</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Lectura, Escritura y Oralidad II (LEO 2)</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Didáctica general</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Sociología de la educación</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Filosofía de la educación</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Instituciones educativas</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0" customHeight="1">
      <c r="A22" s="8" t="inlineStr">
        <is>
          <t>Psicologia de la educación</t>
        </is>
      </c>
      <c r="B22" s="9" t="inlineStr">
        <is>
          <t>NO</t>
        </is>
      </c>
      <c r="C22" s="9" t="inlineStr">
        <is>
          <t>NO</t>
        </is>
      </c>
      <c r="D22" s="10" t="inlineStr">
        <is>
          <t>2° Año</t>
        </is>
      </c>
      <c r="E22" s="10">
        <f>IF(B22="SI", "REGULAR", "PENDIENTE")</f>
        <v/>
      </c>
      <c r="F22" s="10">
        <f>IF(C22="SI", "APROBADO", IF(B22="SI", "ADEUDA FINAL", "ADEUDA"))</f>
        <v/>
      </c>
      <c r="G22" s="11">
        <f>IF(C22="SI", "🟢 Aprobada", IF(B22="SI", "🟡 Regular", "🟣 Pendiente"))</f>
        <v/>
      </c>
    </row>
    <row r="23" ht="20" customHeight="1">
      <c r="A23" s="8" t="inlineStr">
        <is>
          <t>Estado, sociedad y DDHH</t>
        </is>
      </c>
      <c r="B23" s="9" t="inlineStr">
        <is>
          <t>NO</t>
        </is>
      </c>
      <c r="C23" s="9" t="inlineStr">
        <is>
          <t>NO</t>
        </is>
      </c>
      <c r="D23" s="10" t="inlineStr">
        <is>
          <t>2° Año</t>
        </is>
      </c>
      <c r="E23" s="10">
        <f>IF(B23="SI", "REGULAR", "PENDIENTE")</f>
        <v/>
      </c>
      <c r="F23" s="10">
        <f>IF(C23="SI", "APROBADO", IF(B23="SI", "ADEUDA FINAL", "ADEUDA"))</f>
        <v/>
      </c>
      <c r="G23" s="11">
        <f>IF(C23="SI", "🟢 Aprobada", IF(B23="SI", "🟡 Regular", "🟣 Pendiente"))</f>
        <v/>
      </c>
    </row>
    <row r="24" ht="20" customHeight="1">
      <c r="A24" s="8" t="inlineStr">
        <is>
          <t>Nuevas tecnologias</t>
        </is>
      </c>
      <c r="B24" s="9" t="inlineStr">
        <is>
          <t>NO</t>
        </is>
      </c>
      <c r="C24" s="9" t="inlineStr">
        <is>
          <t>NO</t>
        </is>
      </c>
      <c r="D24" s="10" t="inlineStr">
        <is>
          <t>2° Año</t>
        </is>
      </c>
      <c r="E24" s="10">
        <f>IF(B24="SI", "REGULAR", "PENDIENTE")</f>
        <v/>
      </c>
      <c r="F24" s="10">
        <f>IF(C24="SI", "APROBADO", IF(B24="SI", "ADEUDA FINAL", "ADEUDA"))</f>
        <v/>
      </c>
      <c r="G24" s="11">
        <f>IF(C24="SI", "🟢 Aprobada", IF(B24="SI", "🟡 Regular", "🟣 Pendiente"))</f>
        <v/>
      </c>
    </row>
    <row r="25" ht="20" customHeight="1">
      <c r="A25" s="8" t="inlineStr">
        <is>
          <t>Trabajo de Campo II</t>
        </is>
      </c>
      <c r="B25" s="9" t="inlineStr">
        <is>
          <t>NO</t>
        </is>
      </c>
      <c r="C25" s="9" t="inlineStr">
        <is>
          <t>NO</t>
        </is>
      </c>
      <c r="D25" s="10" t="inlineStr">
        <is>
          <t>2° Año</t>
        </is>
      </c>
      <c r="E25" s="10">
        <f>IF(B25="SI", "REGULAR", "PENDIENTE")</f>
        <v/>
      </c>
      <c r="F25" s="10">
        <f>IF(C25="SI", "APROBADO", IF(B25="SI", "ADEUDA FINAL", "ADEUDA"))</f>
        <v/>
      </c>
      <c r="G25" s="11">
        <f>IF(C25="SI", "🟢 Aprobada", IF(B25="SI", "🟡 Regular", "🟣 Pendiente"))</f>
        <v/>
      </c>
    </row>
    <row r="26" ht="20" customHeight="1">
      <c r="A26" s="8" t="inlineStr">
        <is>
          <t>Psicología social y analisis de las organizaciones educativas</t>
        </is>
      </c>
      <c r="B26" s="9" t="inlineStr">
        <is>
          <t>NO</t>
        </is>
      </c>
      <c r="C26" s="9" t="inlineStr">
        <is>
          <t>NO</t>
        </is>
      </c>
      <c r="D26" s="10" t="inlineStr">
        <is>
          <t>2° Año</t>
        </is>
      </c>
      <c r="E26" s="10">
        <f>IF(B26="SI", "REGULAR", "PENDIENTE")</f>
        <v/>
      </c>
      <c r="F26" s="10">
        <f>IF(C26="SI", "APROBADO", IF(B26="SI", "ADEUDA FINAL", "ADEUDA"))</f>
        <v/>
      </c>
      <c r="G26" s="11">
        <f>IF(C26="SI", "🟢 Aprobada", IF(B26="SI", "🟡 Regular", "🟣 Pendiente"))</f>
        <v/>
      </c>
    </row>
    <row r="27" ht="22" customHeight="1">
      <c r="A27" s="7" t="inlineStr">
        <is>
          <t>📌 3° AÑO</t>
        </is>
      </c>
    </row>
    <row r="28" ht="20" customHeight="1">
      <c r="A28" s="8" t="inlineStr">
        <is>
          <t>Historia social de la educación</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Problemas didacticos 1</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0" customHeight="1">
      <c r="A30" s="8" t="inlineStr">
        <is>
          <t>Educación no formal e informal</t>
        </is>
      </c>
      <c r="B30" s="9" t="inlineStr">
        <is>
          <t>NO</t>
        </is>
      </c>
      <c r="C30" s="9" t="inlineStr">
        <is>
          <t>NO</t>
        </is>
      </c>
      <c r="D30" s="10" t="inlineStr">
        <is>
          <t>3° Año</t>
        </is>
      </c>
      <c r="E30" s="10">
        <f>IF(B30="SI", "REGULAR", "PENDIENTE")</f>
        <v/>
      </c>
      <c r="F30" s="10">
        <f>IF(C30="SI", "APROBADO", IF(B30="SI", "ADEUDA FINAL", "ADEUDA"))</f>
        <v/>
      </c>
      <c r="G30" s="11">
        <f>IF(C30="SI", "🟢 Aprobada", IF(B30="SI", "🟡 Regular", "🟣 Pendiente"))</f>
        <v/>
      </c>
    </row>
    <row r="31" ht="20" customHeight="1">
      <c r="A31" s="8" t="inlineStr">
        <is>
          <t>Trabajo de Campo III</t>
        </is>
      </c>
      <c r="B31" s="9" t="inlineStr">
        <is>
          <t>NO</t>
        </is>
      </c>
      <c r="C31" s="9" t="inlineStr">
        <is>
          <t>NO</t>
        </is>
      </c>
      <c r="D31" s="10" t="inlineStr">
        <is>
          <t>3° Año</t>
        </is>
      </c>
      <c r="E31" s="10">
        <f>IF(B31="SI", "REGULAR", "PENDIENTE")</f>
        <v/>
      </c>
      <c r="F31" s="10">
        <f>IF(C31="SI", "APROBADO", IF(B31="SI", "ADEUDA FINAL", "ADEUDA"))</f>
        <v/>
      </c>
      <c r="G31" s="11">
        <f>IF(C31="SI", "🟢 Aprobada", IF(B31="SI", "🟡 Regular", "🟣 Pendiente"))</f>
        <v/>
      </c>
    </row>
    <row r="32" ht="20" customHeight="1">
      <c r="A32" s="8" t="inlineStr">
        <is>
          <t>Curriculum</t>
        </is>
      </c>
      <c r="B32" s="9" t="inlineStr">
        <is>
          <t>NO</t>
        </is>
      </c>
      <c r="C32" s="9" t="inlineStr">
        <is>
          <t>NO</t>
        </is>
      </c>
      <c r="D32" s="10" t="inlineStr">
        <is>
          <t>3° Año</t>
        </is>
      </c>
      <c r="E32" s="10">
        <f>IF(B32="SI", "REGULAR", "PENDIENTE")</f>
        <v/>
      </c>
      <c r="F32" s="10">
        <f>IF(C32="SI", "APROBADO", IF(B32="SI", "ADEUDA FINAL", "ADEUDA"))</f>
        <v/>
      </c>
      <c r="G32" s="11">
        <f>IF(C32="SI", "🟢 Aprobada", IF(B32="SI", "🟡 Regular", "🟣 Pendiente"))</f>
        <v/>
      </c>
    </row>
    <row r="33" ht="20" customHeight="1">
      <c r="A33" s="8" t="inlineStr">
        <is>
          <t>Evaluación</t>
        </is>
      </c>
      <c r="B33" s="9" t="inlineStr">
        <is>
          <t>NO</t>
        </is>
      </c>
      <c r="C33" s="9" t="inlineStr">
        <is>
          <t>NO</t>
        </is>
      </c>
      <c r="D33" s="10" t="inlineStr">
        <is>
          <t>3° Año</t>
        </is>
      </c>
      <c r="E33" s="10">
        <f>IF(B33="SI", "REGULAR", "PENDIENTE")</f>
        <v/>
      </c>
      <c r="F33" s="10">
        <f>IF(C33="SI", "APROBADO", IF(B33="SI", "ADEUDA FINAL", "ADEUDA"))</f>
        <v/>
      </c>
      <c r="G33" s="11">
        <f>IF(C33="SI", "🟢 Aprobada", IF(B33="SI", "🟡 Regular", "🟣 Pendiente"))</f>
        <v/>
      </c>
    </row>
    <row r="34" ht="20" customHeight="1">
      <c r="A34" s="8" t="inlineStr">
        <is>
          <t>Trabajo docente</t>
        </is>
      </c>
      <c r="B34" s="9" t="inlineStr">
        <is>
          <t>NO</t>
        </is>
      </c>
      <c r="C34" s="9" t="inlineStr">
        <is>
          <t>NO</t>
        </is>
      </c>
      <c r="D34" s="10" t="inlineStr">
        <is>
          <t>3° Año</t>
        </is>
      </c>
      <c r="E34" s="10">
        <f>IF(B34="SI", "REGULAR", "PENDIENTE")</f>
        <v/>
      </c>
      <c r="F34" s="10">
        <f>IF(C34="SI", "APROBADO", IF(B34="SI", "ADEUDA FINAL", "ADEUDA"))</f>
        <v/>
      </c>
      <c r="G34" s="11">
        <f>IF(C34="SI", "🟢 Aprobada", IF(B34="SI", "🟡 Regular", "🟣 Pendiente"))</f>
        <v/>
      </c>
    </row>
    <row r="35" ht="20" customHeight="1">
      <c r="A35" s="8" t="inlineStr">
        <is>
          <t>Lengua Extranjera</t>
        </is>
      </c>
      <c r="B35" s="9" t="inlineStr">
        <is>
          <t>NO</t>
        </is>
      </c>
      <c r="C35" s="9" t="inlineStr">
        <is>
          <t>NO</t>
        </is>
      </c>
      <c r="D35" s="10" t="inlineStr">
        <is>
          <t>3° Año</t>
        </is>
      </c>
      <c r="E35" s="10">
        <f>IF(B35="SI", "REGULAR", "PENDIENTE")</f>
        <v/>
      </c>
      <c r="F35" s="10">
        <f>IF(C35="SI", "APROBADO", IF(B35="SI", "ADEUDA FINAL", "ADEUDA"))</f>
        <v/>
      </c>
      <c r="G35" s="11">
        <f>IF(C35="SI", "🟢 Aprobada", IF(B35="SI", "🟡 Regular", "🟣 Pendiente"))</f>
        <v/>
      </c>
    </row>
    <row r="36" ht="20" customHeight="1">
      <c r="A36" s="8" t="inlineStr">
        <is>
          <t>Epistemologia de las ciencias sociales</t>
        </is>
      </c>
      <c r="B36" s="9" t="inlineStr">
        <is>
          <t>NO</t>
        </is>
      </c>
      <c r="C36" s="9" t="inlineStr">
        <is>
          <t>NO</t>
        </is>
      </c>
      <c r="D36" s="10" t="inlineStr">
        <is>
          <t>3° Año</t>
        </is>
      </c>
      <c r="E36" s="10">
        <f>IF(B36="SI", "REGULAR", "PENDIENTE")</f>
        <v/>
      </c>
      <c r="F36" s="10">
        <f>IF(C36="SI", "APROBADO", IF(B36="SI", "ADEUDA FINAL", "ADEUDA"))</f>
        <v/>
      </c>
      <c r="G36" s="11">
        <f>IF(C36="SI", "🟢 Aprobada", IF(B36="SI", "🟡 Regular", "🟣 Pendiente"))</f>
        <v/>
      </c>
    </row>
    <row r="37" ht="20" customHeight="1">
      <c r="A37" s="8" t="inlineStr">
        <is>
          <t>Sistema y política educativa</t>
        </is>
      </c>
      <c r="B37" s="9" t="inlineStr">
        <is>
          <t>NO</t>
        </is>
      </c>
      <c r="C37" s="9" t="inlineStr">
        <is>
          <t>NO</t>
        </is>
      </c>
      <c r="D37" s="10" t="inlineStr">
        <is>
          <t>3° Año</t>
        </is>
      </c>
      <c r="E37" s="10">
        <f>IF(B37="SI", "REGULAR", "PENDIENTE")</f>
        <v/>
      </c>
      <c r="F37" s="10">
        <f>IF(C37="SI", "APROBADO", IF(B37="SI", "ADEUDA FINAL", "ADEUDA"))</f>
        <v/>
      </c>
      <c r="G37" s="11">
        <f>IF(C37="SI", "🟢 Aprobada", IF(B37="SI", "🟡 Regular", "🟣 Pendiente"))</f>
        <v/>
      </c>
    </row>
    <row r="38" ht="22" customHeight="1">
      <c r="A38" s="7" t="inlineStr">
        <is>
          <t>📌 4° AÑO</t>
        </is>
      </c>
    </row>
    <row r="39" ht="20" customHeight="1">
      <c r="A39" s="8" t="inlineStr">
        <is>
          <t>Metodologia de la investigación educativa</t>
        </is>
      </c>
      <c r="B39" s="9" t="inlineStr">
        <is>
          <t>NO</t>
        </is>
      </c>
      <c r="C39" s="9" t="inlineStr">
        <is>
          <t>NO</t>
        </is>
      </c>
      <c r="D39" s="10" t="inlineStr">
        <is>
          <t>4° Año</t>
        </is>
      </c>
      <c r="E39" s="10">
        <f>IF(B39="SI", "REGULAR", "PENDIENTE")</f>
        <v/>
      </c>
      <c r="F39" s="10">
        <f>IF(C39="SI", "APROBADO", IF(B39="SI", "ADEUDA FINAL", "ADEUDA"))</f>
        <v/>
      </c>
      <c r="G39" s="11">
        <f>IF(C39="SI", "🟢 Aprobada", IF(B39="SI", "🟡 Regular", "🟣 Pendiente"))</f>
        <v/>
      </c>
    </row>
    <row r="40" ht="20" customHeight="1">
      <c r="A40" s="8" t="inlineStr">
        <is>
          <t>Estadistica socioeducativa</t>
        </is>
      </c>
      <c r="B40" s="9" t="inlineStr">
        <is>
          <t>NO</t>
        </is>
      </c>
      <c r="C40" s="9" t="inlineStr">
        <is>
          <t>NO</t>
        </is>
      </c>
      <c r="D40" s="10" t="inlineStr">
        <is>
          <t>4° Año</t>
        </is>
      </c>
      <c r="E40" s="10">
        <f>IF(B40="SI", "REGULAR", "PENDIENTE")</f>
        <v/>
      </c>
      <c r="F40" s="10">
        <f>IF(C40="SI", "APROBADO", IF(B40="SI", "ADEUDA FINAL", "ADEUDA"))</f>
        <v/>
      </c>
      <c r="G40" s="11">
        <f>IF(C40="SI", "🟢 Aprobada", IF(B40="SI", "🟡 Regular", "🟣 Pendiente"))</f>
        <v/>
      </c>
    </row>
    <row r="41" ht="20" customHeight="1">
      <c r="A41" s="8" t="inlineStr">
        <is>
          <t>Legislación educativa</t>
        </is>
      </c>
      <c r="B41" s="9" t="inlineStr">
        <is>
          <t>NO</t>
        </is>
      </c>
      <c r="C41" s="9" t="inlineStr">
        <is>
          <t>NO</t>
        </is>
      </c>
      <c r="D41" s="10" t="inlineStr">
        <is>
          <t>4° Año</t>
        </is>
      </c>
      <c r="E41" s="10">
        <f>IF(B41="SI", "REGULAR", "PENDIENTE")</f>
        <v/>
      </c>
      <c r="F41" s="10">
        <f>IF(C41="SI", "APROBADO", IF(B41="SI", "ADEUDA FINAL", "ADEUDA"))</f>
        <v/>
      </c>
      <c r="G41" s="11">
        <f>IF(C41="SI", "🟢 Aprobada", IF(B41="SI", "🟡 Regular", "🟣 Pendiente"))</f>
        <v/>
      </c>
    </row>
    <row r="42" ht="20" customHeight="1">
      <c r="A42" s="8" t="inlineStr">
        <is>
          <t>Construcción de la practica docente 1</t>
        </is>
      </c>
      <c r="B42" s="9" t="inlineStr">
        <is>
          <t>NO</t>
        </is>
      </c>
      <c r="C42" s="9" t="inlineStr">
        <is>
          <t>NO</t>
        </is>
      </c>
      <c r="D42" s="10" t="inlineStr">
        <is>
          <t>4° Año</t>
        </is>
      </c>
      <c r="E42" s="10">
        <f>IF(B42="SI", "REGULAR", "PENDIENTE")</f>
        <v/>
      </c>
      <c r="F42" s="10">
        <f>IF(C42="SI", "APROBADO", IF(B42="SI", "ADEUDA FINAL", "ADEUDA"))</f>
        <v/>
      </c>
      <c r="G42" s="11">
        <f>IF(C42="SI", "🟢 Aprobada", IF(B42="SI", "🟡 Regular", "🟣 Pendiente"))</f>
        <v/>
      </c>
    </row>
    <row r="43" ht="20" customHeight="1">
      <c r="A43" s="8" t="inlineStr">
        <is>
          <t>Políticas epistematicas</t>
        </is>
      </c>
      <c r="B43" s="9" t="inlineStr">
        <is>
          <t>NO</t>
        </is>
      </c>
      <c r="C43" s="9" t="inlineStr">
        <is>
          <t>NO</t>
        </is>
      </c>
      <c r="D43" s="10" t="inlineStr">
        <is>
          <t>4° Año</t>
        </is>
      </c>
      <c r="E43" s="10">
        <f>IF(B43="SI", "REGULAR", "PENDIENTE")</f>
        <v/>
      </c>
      <c r="F43" s="10">
        <f>IF(C43="SI", "APROBADO", IF(B43="SI", "ADEUDA FINAL", "ADEUDA"))</f>
        <v/>
      </c>
      <c r="G43" s="11">
        <f>IF(C43="SI", "🟢 Aprobada", IF(B43="SI", "🟡 Regular", "🟣 Pendiente"))</f>
        <v/>
      </c>
    </row>
    <row r="44" ht="20" customHeight="1">
      <c r="A44" s="8" t="inlineStr">
        <is>
          <t>Historia de la educación Argentina</t>
        </is>
      </c>
      <c r="B44" s="9" t="inlineStr">
        <is>
          <t>NO</t>
        </is>
      </c>
      <c r="C44" s="9" t="inlineStr">
        <is>
          <t>NO</t>
        </is>
      </c>
      <c r="D44" s="10" t="inlineStr">
        <is>
          <t>4° Año</t>
        </is>
      </c>
      <c r="E44" s="10">
        <f>IF(B44="SI", "REGULAR", "PENDIENTE")</f>
        <v/>
      </c>
      <c r="F44" s="10">
        <f>IF(C44="SI", "APROBADO", IF(B44="SI", "ADEUDA FINAL", "ADEUDA"))</f>
        <v/>
      </c>
      <c r="G44" s="11">
        <f>IF(C44="SI", "🟢 Aprobada", IF(B44="SI", "🟡 Regular", "🟣 Pendiente"))</f>
        <v/>
      </c>
    </row>
    <row r="45" ht="20" customHeight="1">
      <c r="A45" s="8" t="inlineStr">
        <is>
          <t>Autoridad pedagógica</t>
        </is>
      </c>
      <c r="B45" s="9" t="inlineStr">
        <is>
          <t>NO</t>
        </is>
      </c>
      <c r="C45" s="9" t="inlineStr">
        <is>
          <t>NO</t>
        </is>
      </c>
      <c r="D45" s="10" t="inlineStr">
        <is>
          <t>4° Año</t>
        </is>
      </c>
      <c r="E45" s="10">
        <f>IF(B45="SI", "REGULAR", "PENDIENTE")</f>
        <v/>
      </c>
      <c r="F45" s="10">
        <f>IF(C45="SI", "APROBADO", IF(B45="SI", "ADEUDA FINAL", "ADEUDA"))</f>
        <v/>
      </c>
      <c r="G45" s="11">
        <f>IF(C45="SI", "🟢 Aprobada", IF(B45="SI", "🟡 Regular", "🟣 Pendiente"))</f>
        <v/>
      </c>
    </row>
    <row r="46" ht="20" customHeight="1">
      <c r="A46" s="8" t="inlineStr">
        <is>
          <t>Problemas didacticos 2</t>
        </is>
      </c>
      <c r="B46" s="9" t="inlineStr">
        <is>
          <t>NO</t>
        </is>
      </c>
      <c r="C46" s="9" t="inlineStr">
        <is>
          <t>NO</t>
        </is>
      </c>
      <c r="D46" s="10" t="inlineStr">
        <is>
          <t>4° Año</t>
        </is>
      </c>
      <c r="E46" s="10">
        <f>IF(B46="SI", "REGULAR", "PENDIENTE")</f>
        <v/>
      </c>
      <c r="F46" s="10">
        <f>IF(C46="SI", "APROBADO", IF(B46="SI", "ADEUDA FINAL", "ADEUDA"))</f>
        <v/>
      </c>
      <c r="G46" s="11">
        <f>IF(C46="SI", "🟢 Aprobada", IF(B46="SI", "🟡 Regular", "🟣 Pendiente"))</f>
        <v/>
      </c>
    </row>
    <row r="47" ht="20" customHeight="1">
      <c r="A47" s="8" t="inlineStr">
        <is>
          <t>Dimensión etica del trabajo docente</t>
        </is>
      </c>
      <c r="B47" s="9" t="inlineStr">
        <is>
          <t>NO</t>
        </is>
      </c>
      <c r="C47" s="9" t="inlineStr">
        <is>
          <t>NO</t>
        </is>
      </c>
      <c r="D47" s="10" t="inlineStr">
        <is>
          <t>4° Año</t>
        </is>
      </c>
      <c r="E47" s="10">
        <f>IF(B47="SI", "REGULAR", "PENDIENTE")</f>
        <v/>
      </c>
      <c r="F47" s="10">
        <f>IF(C47="SI", "APROBADO", IF(B47="SI", "ADEUDA FINAL", "ADEUDA"))</f>
        <v/>
      </c>
      <c r="G47" s="11">
        <f>IF(C47="SI", "🟢 Aprobada", IF(B47="SI", "🟡 Regular", "🟣 Pendiente"))</f>
        <v/>
      </c>
    </row>
    <row r="48" ht="20" customHeight="1">
      <c r="A48" s="8" t="inlineStr">
        <is>
          <t>Pedagogía social</t>
        </is>
      </c>
      <c r="B48" s="9" t="inlineStr">
        <is>
          <t>NO</t>
        </is>
      </c>
      <c r="C48" s="9" t="inlineStr">
        <is>
          <t>NO</t>
        </is>
      </c>
      <c r="D48" s="10" t="inlineStr">
        <is>
          <t>4° Año</t>
        </is>
      </c>
      <c r="E48" s="10">
        <f>IF(B48="SI", "REGULAR", "PENDIENTE")</f>
        <v/>
      </c>
      <c r="F48" s="10">
        <f>IF(C48="SI", "APROBADO", IF(B48="SI", "ADEUDA FINAL", "ADEUDA"))</f>
        <v/>
      </c>
      <c r="G48" s="11">
        <f>IF(C48="SI", "🟢 Aprobada", IF(B48="SI", "🟡 Regular", "🟣 Pendiente"))</f>
        <v/>
      </c>
    </row>
    <row r="49" ht="22" customHeight="1">
      <c r="A49" s="7" t="inlineStr">
        <is>
          <t>📌 5° AÑO</t>
        </is>
      </c>
    </row>
    <row r="50" ht="20" customHeight="1">
      <c r="A50" s="8" t="inlineStr">
        <is>
          <t>Configuración dinamica de roles profesionales</t>
        </is>
      </c>
      <c r="B50" s="9" t="inlineStr">
        <is>
          <t>NO</t>
        </is>
      </c>
      <c r="C50" s="9" t="inlineStr">
        <is>
          <t>NO</t>
        </is>
      </c>
      <c r="D50" s="10" t="inlineStr">
        <is>
          <t>5° Año</t>
        </is>
      </c>
      <c r="E50" s="10">
        <f>IF(B50="SI", "REGULAR", "PENDIENTE")</f>
        <v/>
      </c>
      <c r="F50" s="10">
        <f>IF(C50="SI", "APROBADO", IF(B50="SI", "ADEUDA FINAL", "ADEUDA"))</f>
        <v/>
      </c>
      <c r="G50" s="11">
        <f>IF(C50="SI", "🟢 Aprobada", IF(B50="SI", "🟡 Regular", "🟣 Pendiente"))</f>
        <v/>
      </c>
    </row>
    <row r="51" ht="20" customHeight="1">
      <c r="A51" s="8" t="inlineStr">
        <is>
          <t>Practica de la investigación educativa</t>
        </is>
      </c>
      <c r="B51" s="9" t="inlineStr">
        <is>
          <t>NO</t>
        </is>
      </c>
      <c r="C51" s="9" t="inlineStr">
        <is>
          <t>NO</t>
        </is>
      </c>
      <c r="D51" s="10" t="inlineStr">
        <is>
          <t>5° Año</t>
        </is>
      </c>
      <c r="E51" s="10">
        <f>IF(B51="SI", "REGULAR", "PENDIENTE")</f>
        <v/>
      </c>
      <c r="F51" s="10">
        <f>IF(C51="SI", "APROBADO", IF(B51="SI", "ADEUDA FINAL", "ADEUDA"))</f>
        <v/>
      </c>
      <c r="G51" s="11">
        <f>IF(C51="SI", "🟢 Aprobada", IF(B51="SI", "🟡 Regular", "🟣 Pendiente"))</f>
        <v/>
      </c>
    </row>
    <row r="52" ht="22" customHeight="1">
      <c r="A52" s="7" t="inlineStr">
        <is>
          <t>📌 TRAMO SUPERIOR / SEMINARIOS</t>
        </is>
      </c>
    </row>
    <row r="53" ht="20" customHeight="1">
      <c r="A53" s="8" t="inlineStr">
        <is>
          <t>Construcción de la practica docente 2</t>
        </is>
      </c>
      <c r="B53" s="9" t="inlineStr">
        <is>
          <t>NO</t>
        </is>
      </c>
      <c r="C53" s="9" t="inlineStr">
        <is>
          <t>NO</t>
        </is>
      </c>
      <c r="D53" s="10" t="inlineStr">
        <is>
          <t>Tramo Superior / Seminarios</t>
        </is>
      </c>
      <c r="E53" s="10">
        <f>IF(B53="SI", "REGULAR", "PENDIENTE")</f>
        <v/>
      </c>
      <c r="F53" s="10">
        <f>IF(C53="SI", "APROBADO", IF(B53="SI", "ADEUDA FINAL", "ADEUDA"))</f>
        <v/>
      </c>
      <c r="G53" s="11">
        <f>IF(C53="SI", "🟢 Aprobada", IF(B53="SI", "🟡 Regular", "🟣 Pendiente"))</f>
        <v/>
      </c>
    </row>
    <row r="54" ht="20" customHeight="1">
      <c r="A54" s="8" t="inlineStr">
        <is>
          <t>Ateneo de politicas publicas</t>
        </is>
      </c>
      <c r="B54" s="9" t="inlineStr">
        <is>
          <t>NO</t>
        </is>
      </c>
      <c r="C54" s="9" t="inlineStr">
        <is>
          <t>NO</t>
        </is>
      </c>
      <c r="D54" s="10" t="inlineStr">
        <is>
          <t>Tramo Superior / Seminarios</t>
        </is>
      </c>
      <c r="E54" s="10">
        <f>IF(B54="SI", "REGULAR", "PENDIENTE")</f>
        <v/>
      </c>
      <c r="F54" s="10">
        <f>IF(C54="SI", "APROBADO", IF(B54="SI", "ADEUDA FINAL", "ADEUDA"))</f>
        <v/>
      </c>
      <c r="G54" s="11">
        <f>IF(C54="SI", "🟢 Aprobada", IF(B54="SI", "🟡 Regular", "🟣 Pendiente"))</f>
        <v/>
      </c>
    </row>
    <row r="55" ht="20" customHeight="1">
      <c r="A55" s="8" t="inlineStr">
        <is>
          <t>Experiencias educativas en contexto</t>
        </is>
      </c>
      <c r="B55" s="9" t="inlineStr">
        <is>
          <t>NO</t>
        </is>
      </c>
      <c r="C55" s="9" t="inlineStr">
        <is>
          <t>NO</t>
        </is>
      </c>
      <c r="D55" s="10" t="inlineStr">
        <is>
          <t>Tramo Superior / Seminarios</t>
        </is>
      </c>
      <c r="E55" s="10">
        <f>IF(B55="SI", "REGULAR", "PENDIENTE")</f>
        <v/>
      </c>
      <c r="F55" s="10">
        <f>IF(C55="SI", "APROBADO", IF(B55="SI", "ADEUDA FINAL", "ADEUDA"))</f>
        <v/>
      </c>
      <c r="G55" s="11">
        <f>IF(C55="SI", "🟢 Aprobada", IF(B55="SI", "🟡 Regular", "🟣 Pendiente"))</f>
        <v/>
      </c>
    </row>
  </sheetData>
  <mergeCells count="16">
    <mergeCell ref="I14:J14"/>
    <mergeCell ref="I12:J12"/>
    <mergeCell ref="A1:G1"/>
    <mergeCell ref="A27:G27"/>
    <mergeCell ref="I15:J15"/>
    <mergeCell ref="I10:J10"/>
    <mergeCell ref="I1:K1"/>
    <mergeCell ref="I11:J11"/>
    <mergeCell ref="A38:G38"/>
    <mergeCell ref="A2:G2"/>
    <mergeCell ref="A15:G15"/>
    <mergeCell ref="A52:G52"/>
    <mergeCell ref="I13:J13"/>
    <mergeCell ref="A49:G49"/>
    <mergeCell ref="I9:J9"/>
    <mergeCell ref="A5:G5"/>
  </mergeCells>
  <dataValidations count="1">
    <dataValidation sqref="B6 B7 B8 B9 B10 B11 B12 B13 B14 B16 B17 B18 B19 B20 B21 B22 B23 B24 B25 B26 B28 B29 B30 B31 B32 B33 B34 B35 B36 B37 B39 B40 B41 B42 B43 B44 B45 B46 B47 B48 B50 B51 B53 B54 B55 C6 C7 C8 C9 C10 C11 C12 C13 C14 C16 C17 C18 C19 C20 C21 C22 C23 C24 C25 C26 C28 C29 C30 C31 C32 C33 C34 C35 C36 C37 C39 C40 C41 C42 C43 C44 C45 C46 C47 C48 C50 C51 C53 C54 C55"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2026-08-31T01:47:25Z</dcterms:created>
  <dcterms:modified xmlns:dcterms="http://purl.org/dc/terms/" xmlns:xsi="http://www.w3.org/2001/XMLSchema-instance" xsi:type="dcterms:W3CDTF">2026-08-31T01:47:25Z</dcterms:modified>
</cp:coreProperties>
</file>