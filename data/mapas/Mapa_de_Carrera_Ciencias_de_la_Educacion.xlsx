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CIENCIAS DE LA EDUCACIÓN</t>
        </is>
      </c>
      <c r="I1" s="2" t="inlineStr">
        <is>
          <t>CONTROL DE TRAYECTORIA</t>
        </is>
      </c>
    </row>
    <row r="2" ht="22" customHeight="1">
      <c r="A2" s="3" t="inlineStr">
        <is>
          <t>La Caravana + Estudiantes Independientes | Altillo JVG - ISP Joaquín V. González</t>
        </is>
      </c>
      <c r="I2" s="4" t="inlineStr">
        <is>
          <t>Total de Materias del Plan</t>
        </is>
      </c>
      <c r="J2" s="5" t="n">
        <v>32</v>
      </c>
    </row>
    <row r="3" ht="22" customHeight="1">
      <c r="I3" s="4" t="inlineStr">
        <is>
          <t>Materias con Cursada Regular</t>
        </is>
      </c>
      <c r="J3" s="5">
        <f>COUNTIF(B6:B41,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COUNTIF(C6:C41, "SI")</f>
        <v/>
      </c>
    </row>
    <row r="5" ht="22" customHeight="1">
      <c r="A5" s="7" t="inlineStr">
        <is>
          <t>📌 1° AÑO</t>
        </is>
      </c>
      <c r="I5" s="4" t="inlineStr">
        <is>
          <t>Finales Adeudados</t>
        </is>
      </c>
      <c r="J5" s="5">
        <f>COUNTIF(F6:F41, "ADEUDA FINAL")</f>
        <v/>
      </c>
    </row>
    <row r="6" ht="22" customHeight="1">
      <c r="A6" s="8" t="inlineStr">
        <is>
          <t>Pedagogía General</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COUNTIF(B6:B41, "SI")/32</f>
        <v/>
      </c>
    </row>
    <row r="7" ht="22" customHeight="1">
      <c r="A7" s="8" t="inlineStr">
        <is>
          <t>Filosofía General</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COUNTIF(C6:C41, "SI")/32</f>
        <v/>
      </c>
    </row>
    <row r="8" ht="20" customHeight="1">
      <c r="A8" s="8" t="inlineStr">
        <is>
          <t>Antropología y Educación</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Psicología General y del Desarrollo</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Sociología General</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Lectura, Escritura y Oralidad I (LEO 1)</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Trabajo de Campo I</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7" t="inlineStr">
        <is>
          <t>📌 2° AÑO</t>
        </is>
      </c>
      <c r="I13" s="14" t="inlineStr">
        <is>
          <t>4. Las columnas E, F y G se actualizan automaticamente en tiempo real.</t>
        </is>
      </c>
    </row>
    <row r="14" ht="20" customHeight="1">
      <c r="A14" s="8" t="inlineStr">
        <is>
          <t>Didáctica General</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Historia de la Educación Argentina y Latinoamericana</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Sociología de la Educación</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Psicología de la Educación</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Instituciones Educativas y Análisis Organizacional</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Filosofía de la Educación</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Estado, Sociedad y Derechos Humanos</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Trabajo de Campo II</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2" customHeight="1">
      <c r="A22" s="7" t="inlineStr">
        <is>
          <t>📌 3° AÑO</t>
        </is>
      </c>
    </row>
    <row r="23" ht="20" customHeight="1">
      <c r="A23" s="8" t="inlineStr">
        <is>
          <t>Teoría y Diseño Curricular</t>
        </is>
      </c>
      <c r="B23" s="9" t="inlineStr">
        <is>
          <t>NO</t>
        </is>
      </c>
      <c r="C23" s="9" t="inlineStr">
        <is>
          <t>NO</t>
        </is>
      </c>
      <c r="D23" s="10" t="inlineStr">
        <is>
          <t>3° Año</t>
        </is>
      </c>
      <c r="E23" s="10">
        <f>IF(B23="SI", "REGULAR", "PENDIENTE")</f>
        <v/>
      </c>
      <c r="F23" s="10">
        <f>IF(C23="SI", "APROBADO", IF(B23="SI", "ADEUDA FINAL", "ADEUDA"))</f>
        <v/>
      </c>
      <c r="G23" s="11">
        <f>IF(C23="SI", "🟢 Aprobada", IF(B23="SI", "🟡 Regular", "🟣 Pendiente"))</f>
        <v/>
      </c>
    </row>
    <row r="24" ht="20" customHeight="1">
      <c r="A24" s="8" t="inlineStr">
        <is>
          <t>Política y Legislación Educativa</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Metodología de la Investigación Educativa I (Cualitativa)</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Didáctica de Nivel Inicial, Primario y Secundario</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Historia Social de la Educación</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Problemas Didácticos Contemporáneos</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Construcción de la Práctica Docente I</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2" customHeight="1">
      <c r="A30" s="7" t="inlineStr">
        <is>
          <t>📌 4° AÑO</t>
        </is>
      </c>
    </row>
    <row r="31" ht="20" customHeight="1">
      <c r="A31" s="8" t="inlineStr">
        <is>
          <t>Planeamiento y Gestión Educativa</t>
        </is>
      </c>
      <c r="B31" s="9" t="inlineStr">
        <is>
          <t>NO</t>
        </is>
      </c>
      <c r="C31" s="9" t="inlineStr">
        <is>
          <t>NO</t>
        </is>
      </c>
      <c r="D31" s="10" t="inlineStr">
        <is>
          <t>4° Año</t>
        </is>
      </c>
      <c r="E31" s="10">
        <f>IF(B31="SI", "REGULAR", "PENDIENTE")</f>
        <v/>
      </c>
      <c r="F31" s="10">
        <f>IF(C31="SI", "APROBADO", IF(B31="SI", "ADEUDA FINAL", "ADEUDA"))</f>
        <v/>
      </c>
      <c r="G31" s="11">
        <f>IF(C31="SI", "🟢 Aprobada", IF(B31="SI", "🟡 Regular", "🟣 Pendiente"))</f>
        <v/>
      </c>
    </row>
    <row r="32" ht="20" customHeight="1">
      <c r="A32" s="8" t="inlineStr">
        <is>
          <t>Metodología de la Investigación Educativa II (Cuantitativa y Mixta)</t>
        </is>
      </c>
      <c r="B32" s="9" t="inlineStr">
        <is>
          <t>NO</t>
        </is>
      </c>
      <c r="C32" s="9" t="inlineStr">
        <is>
          <t>NO</t>
        </is>
      </c>
      <c r="D32" s="10" t="inlineStr">
        <is>
          <t>4° Año</t>
        </is>
      </c>
      <c r="E32" s="10">
        <f>IF(B32="SI", "REGULAR", "PENDIENTE")</f>
        <v/>
      </c>
      <c r="F32" s="10">
        <f>IF(C32="SI", "APROBADO", IF(B32="SI", "ADEUDA FINAL", "ADEUDA"))</f>
        <v/>
      </c>
      <c r="G32" s="11">
        <f>IF(C32="SI", "🟢 Aprobada", IF(B32="SI", "🟡 Regular", "🟣 Pendiente"))</f>
        <v/>
      </c>
    </row>
    <row r="33" ht="20" customHeight="1">
      <c r="A33" s="8" t="inlineStr">
        <is>
          <t>Evaluación de Proyectos Educativos</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Educación No Formal y Pedagogía Social</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Educación Sexual Integral (ESI)</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Ética y Trabajo Docente</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Residencia y Construcción de la Práctica Docente II</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2" customHeight="1">
      <c r="A38" s="7" t="inlineStr">
        <is>
          <t>📌 TRAMO SUPERIOR / SEMINARIOS</t>
        </is>
      </c>
    </row>
    <row r="39" ht="20" customHeight="1">
      <c r="A39" s="8" t="inlineStr">
        <is>
          <t>Seminario de Políticas Públicas Educativas</t>
        </is>
      </c>
      <c r="B39" s="9" t="inlineStr">
        <is>
          <t>NO</t>
        </is>
      </c>
      <c r="C39" s="9" t="inlineStr">
        <is>
          <t>NO</t>
        </is>
      </c>
      <c r="D39" s="10" t="inlineStr">
        <is>
          <t>Tramo Superior / Seminarios</t>
        </is>
      </c>
      <c r="E39" s="10">
        <f>IF(B39="SI", "REGULAR", "PENDIENTE")</f>
        <v/>
      </c>
      <c r="F39" s="10">
        <f>IF(C39="SI", "APROBADO", IF(B39="SI", "ADEUDA FINAL", "ADEUDA"))</f>
        <v/>
      </c>
      <c r="G39" s="11">
        <f>IF(C39="SI", "🟢 Aprobada", IF(B39="SI", "🟡 Regular", "🟣 Pendiente"))</f>
        <v/>
      </c>
    </row>
    <row r="40" ht="20" customHeight="1">
      <c r="A40" s="8" t="inlineStr">
        <is>
          <t>Seminario de Educación Superior y Universitaria</t>
        </is>
      </c>
      <c r="B40" s="9" t="inlineStr">
        <is>
          <t>NO</t>
        </is>
      </c>
      <c r="C40" s="9" t="inlineStr">
        <is>
          <t>NO</t>
        </is>
      </c>
      <c r="D40" s="10" t="inlineStr">
        <is>
          <t>Tramo Superior / Seminarios</t>
        </is>
      </c>
      <c r="E40" s="10">
        <f>IF(B40="SI", "REGULAR", "PENDIENTE")</f>
        <v/>
      </c>
      <c r="F40" s="10">
        <f>IF(C40="SI", "APROBADO", IF(B40="SI", "ADEUDA FINAL", "ADEUDA"))</f>
        <v/>
      </c>
      <c r="G40" s="11">
        <f>IF(C40="SI", "🟢 Aprobada", IF(B40="SI", "🟡 Regular", "🟣 Pendiente"))</f>
        <v/>
      </c>
    </row>
    <row r="41" ht="20" customHeight="1">
      <c r="A41" s="8" t="inlineStr">
        <is>
          <t>Taller de Trabajo Final / Tesis de Licenciatura</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sheetData>
  <mergeCells count="15">
    <mergeCell ref="A13:G13"/>
    <mergeCell ref="I12:J12"/>
    <mergeCell ref="A1:G1"/>
    <mergeCell ref="I15:J15"/>
    <mergeCell ref="I10:J10"/>
    <mergeCell ref="A22:G22"/>
    <mergeCell ref="I1:K1"/>
    <mergeCell ref="I11:J11"/>
    <mergeCell ref="A30:G30"/>
    <mergeCell ref="A2:G2"/>
    <mergeCell ref="A38:G38"/>
    <mergeCell ref="I13:J13"/>
    <mergeCell ref="I14:J14"/>
    <mergeCell ref="I9:J9"/>
    <mergeCell ref="A5:G5"/>
  </mergeCells>
  <dataValidations count="1">
    <dataValidation sqref="B6 B7 B8 B9 B10 B11 B12 B14 B15 B16 B17 B18 B19 B20 B21 B23 B24 B25 B26 B27 B28 B29 B31 B32 B33 B34 B35 B36 B37 B39 B40 B41 C6 C7 C8 C9 C10 C11 C12 C14 C15 C16 C17 C18 C19 C20 C21 C23 C24 C25 C26 C27 C28 C29 C31 C32 C33 C34 C35 C36 C37 C39 C40 C41"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2026-08-31T01:11:53Z</dcterms:created>
  <dcterms:modified xmlns:dcterms="http://purl.org/dc/terms/" xmlns:xsi="http://www.w3.org/2001/XMLSchema-instance" xsi:type="dcterms:W3CDTF">2026-08-31T01:11:53Z</dcterms:modified>
</cp:coreProperties>
</file>