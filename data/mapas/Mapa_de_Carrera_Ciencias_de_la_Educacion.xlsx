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CIENCIAS DE LA EDUCACIÓN</t>
        </is>
      </c>
      <c r="I1" s="2" t="inlineStr">
        <is>
          <t>CONTROL DE TRAYECTORIA</t>
        </is>
      </c>
    </row>
    <row r="2" ht="22" customHeight="1">
      <c r="A2" s="3" t="inlineStr">
        <is>
          <t>La Caravana + Estudiantes Independientes | Altillo JVG - ISP Joaquín V. González</t>
        </is>
      </c>
      <c r="I2" s="4" t="inlineStr">
        <is>
          <t>Total de Materias del Plan</t>
        </is>
      </c>
      <c r="J2" s="5" t="n">
        <v>24</v>
      </c>
    </row>
    <row r="3" ht="22" customHeight="1">
      <c r="I3" s="4" t="inlineStr">
        <is>
          <t>Materias con Cursada Regular</t>
        </is>
      </c>
      <c r="J3" s="5">
        <f>COUNTIF(B6:B34,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COUNTIF(C6:C34, "SI")</f>
        <v/>
      </c>
    </row>
    <row r="5" ht="22" customHeight="1">
      <c r="A5" s="7" t="inlineStr">
        <is>
          <t>📌 1° AÑO</t>
        </is>
      </c>
      <c r="I5" s="4" t="inlineStr">
        <is>
          <t>Finales Adeudados</t>
        </is>
      </c>
      <c r="J5" s="5">
        <f>COUNTIF(F6:F34, "ADEUDA FINAL")</f>
        <v/>
      </c>
    </row>
    <row r="6" ht="22" customHeight="1">
      <c r="A6" s="8" t="inlineStr">
        <is>
          <t>Pedagogía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COUNTIF(B6:B34, "SI")/24</f>
        <v/>
      </c>
    </row>
    <row r="7" ht="22" customHeight="1">
      <c r="A7" s="8" t="inlineStr">
        <is>
          <t>Didáctica General</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COUNTIF(C6:C34, "SI")/24</f>
        <v/>
      </c>
    </row>
    <row r="8" ht="20" customHeight="1">
      <c r="A8" s="8" t="inlineStr">
        <is>
          <t>Introducción a la Disciplina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Práctica Docente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7" t="inlineStr">
        <is>
          <t>📌 2° AÑO</t>
        </is>
      </c>
      <c r="I10" s="14" t="inlineStr">
        <is>
          <t>1. Hace clic en la celda y elegi 'SI' o 'NO' desde el menu desplegable.</t>
        </is>
      </c>
    </row>
    <row r="11" ht="20" customHeight="1">
      <c r="A11" s="8" t="inlineStr">
        <is>
          <t>Psicología Educacional</t>
        </is>
      </c>
      <c r="B11" s="9" t="inlineStr">
        <is>
          <t>NO</t>
        </is>
      </c>
      <c r="C11" s="9" t="inlineStr">
        <is>
          <t>NO</t>
        </is>
      </c>
      <c r="D11" s="10" t="inlineStr">
        <is>
          <t>2°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Sociología de la Educación</t>
        </is>
      </c>
      <c r="B12" s="9" t="inlineStr">
        <is>
          <t>NO</t>
        </is>
      </c>
      <c r="C12" s="9" t="inlineStr">
        <is>
          <t>NO</t>
        </is>
      </c>
      <c r="D12" s="10" t="inlineStr">
        <is>
          <t>2°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Sujetos de la Educación</t>
        </is>
      </c>
      <c r="B13" s="9" t="inlineStr">
        <is>
          <t>NO</t>
        </is>
      </c>
      <c r="C13" s="9" t="inlineStr">
        <is>
          <t>NO</t>
        </is>
      </c>
      <c r="D13" s="10" t="inlineStr">
        <is>
          <t>2°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Práctica Docente II</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7" t="inlineStr">
        <is>
          <t>📌 3° AÑO</t>
        </is>
      </c>
      <c r="I15" s="14" t="inlineStr">
        <is>
          <t>6. Podes subir el archivo a tu Google Drive personal para editarlo online.</t>
        </is>
      </c>
    </row>
    <row r="16" ht="20" customHeight="1">
      <c r="A16" s="8" t="inlineStr">
        <is>
          <t>Historia Social de la Educación</t>
        </is>
      </c>
      <c r="B16" s="9" t="inlineStr">
        <is>
          <t>NO</t>
        </is>
      </c>
      <c r="C16" s="9" t="inlineStr">
        <is>
          <t>NO</t>
        </is>
      </c>
      <c r="D16" s="10" t="inlineStr">
        <is>
          <t>3° Año</t>
        </is>
      </c>
      <c r="E16" s="10">
        <f>IF(B16="SI", "REGULAR", "PENDIENTE")</f>
        <v/>
      </c>
      <c r="F16" s="10">
        <f>IF(C16="SI", "APROBADO", IF(B16="SI", "ADEUDA FINAL", "ADEUDA"))</f>
        <v/>
      </c>
      <c r="G16" s="11">
        <f>IF(C16="SI", "🟢 Aprobada", IF(B16="SI", "🟡 Regular", "🟣 Pendiente"))</f>
        <v/>
      </c>
    </row>
    <row r="17" ht="20" customHeight="1">
      <c r="A17" s="8" t="inlineStr">
        <is>
          <t>Residencia I</t>
        </is>
      </c>
      <c r="B17" s="9" t="inlineStr">
        <is>
          <t>NO</t>
        </is>
      </c>
      <c r="C17" s="9" t="inlineStr">
        <is>
          <t>NO</t>
        </is>
      </c>
      <c r="D17" s="10" t="inlineStr">
        <is>
          <t>3° Año</t>
        </is>
      </c>
      <c r="E17" s="10">
        <f>IF(B17="SI", "REGULAR", "PENDIENTE")</f>
        <v/>
      </c>
      <c r="F17" s="10">
        <f>IF(C17="SI", "APROBADO", IF(B17="SI", "ADEUDA FINAL", "ADEUDA"))</f>
        <v/>
      </c>
      <c r="G17" s="11">
        <f>IF(C17="SI", "🟢 Aprobada", IF(B17="SI", "🟡 Regular", "🟣 Pendiente"))</f>
        <v/>
      </c>
    </row>
    <row r="18" ht="20" customHeight="1">
      <c r="A18" s="8" t="inlineStr">
        <is>
          <t>Espacio de Definición Institucional</t>
        </is>
      </c>
      <c r="B18" s="9" t="inlineStr">
        <is>
          <t>NO</t>
        </is>
      </c>
      <c r="C18" s="9" t="inlineStr">
        <is>
          <t>NO</t>
        </is>
      </c>
      <c r="D18" s="10" t="inlineStr">
        <is>
          <t>3° Año</t>
        </is>
      </c>
      <c r="E18" s="10">
        <f>IF(B18="SI", "REGULAR", "PENDIENTE")</f>
        <v/>
      </c>
      <c r="F18" s="10">
        <f>IF(C18="SI", "APROBADO", IF(B18="SI", "ADEUDA FINAL", "ADEUDA"))</f>
        <v/>
      </c>
      <c r="G18" s="11">
        <f>IF(C18="SI", "🟢 Aprobada", IF(B18="SI", "🟡 Regular", "🟣 Pendiente"))</f>
        <v/>
      </c>
    </row>
    <row r="19" ht="20" customHeight="1">
      <c r="A19" s="8" t="inlineStr">
        <is>
          <t>Práctica Docente III</t>
        </is>
      </c>
      <c r="B19" s="9" t="inlineStr">
        <is>
          <t>NO</t>
        </is>
      </c>
      <c r="C19" s="9" t="inlineStr">
        <is>
          <t>NO</t>
        </is>
      </c>
      <c r="D19" s="10" t="inlineStr">
        <is>
          <t>3° Año</t>
        </is>
      </c>
      <c r="E19" s="10">
        <f>IF(B19="SI", "REGULAR", "PENDIENTE")</f>
        <v/>
      </c>
      <c r="F19" s="10">
        <f>IF(C19="SI", "APROBADO", IF(B19="SI", "ADEUDA FINAL", "ADEUDA"))</f>
        <v/>
      </c>
      <c r="G19" s="11">
        <f>IF(C19="SI", "🟢 Aprobada", IF(B19="SI", "🟡 Regular", "🟣 Pendiente"))</f>
        <v/>
      </c>
    </row>
    <row r="20" ht="22" customHeight="1">
      <c r="A20" s="7" t="inlineStr">
        <is>
          <t>📌 4° AÑO</t>
        </is>
      </c>
    </row>
    <row r="21" ht="20" customHeight="1">
      <c r="A21" s="8" t="inlineStr">
        <is>
          <t>Residencia II / Taller de Cierre</t>
        </is>
      </c>
      <c r="B21" s="9" t="inlineStr">
        <is>
          <t>NO</t>
        </is>
      </c>
      <c r="C21" s="9" t="inlineStr">
        <is>
          <t>NO</t>
        </is>
      </c>
      <c r="D21" s="10" t="inlineStr">
        <is>
          <t>4° Año</t>
        </is>
      </c>
      <c r="E21" s="10">
        <f>IF(B21="SI", "REGULAR", "PENDIENTE")</f>
        <v/>
      </c>
      <c r="F21" s="10">
        <f>IF(C21="SI", "APROBADO", IF(B21="SI", "ADEUDA FINAL", "ADEUDA"))</f>
        <v/>
      </c>
      <c r="G21" s="11">
        <f>IF(C21="SI", "🟢 Aprobada", IF(B21="SI", "🟡 Regular", "🟣 Pendiente"))</f>
        <v/>
      </c>
    </row>
    <row r="22" ht="20" customHeight="1">
      <c r="A22" s="8" t="inlineStr">
        <is>
          <t>Ética y Trabajo Docente</t>
        </is>
      </c>
      <c r="B22" s="9" t="inlineStr">
        <is>
          <t>NO</t>
        </is>
      </c>
      <c r="C22" s="9" t="inlineStr">
        <is>
          <t>NO</t>
        </is>
      </c>
      <c r="D22" s="10" t="inlineStr">
        <is>
          <t>4° Año</t>
        </is>
      </c>
      <c r="E22" s="10">
        <f>IF(B22="SI", "REGULAR", "PENDIENTE")</f>
        <v/>
      </c>
      <c r="F22" s="10">
        <f>IF(C22="SI", "APROBADO", IF(B22="SI", "ADEUDA FINAL", "ADEUDA"))</f>
        <v/>
      </c>
      <c r="G22" s="11">
        <f>IF(C22="SI", "🟢 Aprobada", IF(B22="SI", "🟡 Regular", "🟣 Pendiente"))</f>
        <v/>
      </c>
    </row>
    <row r="23" ht="20" customHeight="1">
      <c r="A23" s="8" t="inlineStr">
        <is>
          <t>Investigación Educativa</t>
        </is>
      </c>
      <c r="B23" s="9" t="inlineStr">
        <is>
          <t>NO</t>
        </is>
      </c>
      <c r="C23" s="9" t="inlineStr">
        <is>
          <t>NO</t>
        </is>
      </c>
      <c r="D23" s="10" t="inlineStr">
        <is>
          <t>4° Año</t>
        </is>
      </c>
      <c r="E23" s="10">
        <f>IF(B23="SI", "REGULAR", "PENDIENTE")</f>
        <v/>
      </c>
      <c r="F23" s="10">
        <f>IF(C23="SI", "APROBADO", IF(B23="SI", "ADEUDA FINAL", "ADEUDA"))</f>
        <v/>
      </c>
      <c r="G23" s="11">
        <f>IF(C23="SI", "🟢 Aprobada", IF(B23="SI", "🟡 Regular", "🟣 Pendiente"))</f>
        <v/>
      </c>
    </row>
    <row r="24" ht="20" customHeight="1">
      <c r="A24" s="8" t="inlineStr">
        <is>
          <t>Práctica Docente IV</t>
        </is>
      </c>
      <c r="B24" s="9" t="inlineStr">
        <is>
          <t>NO</t>
        </is>
      </c>
      <c r="C24" s="9" t="inlineStr">
        <is>
          <t>NO</t>
        </is>
      </c>
      <c r="D24" s="10" t="inlineStr">
        <is>
          <t>4° Año</t>
        </is>
      </c>
      <c r="E24" s="10">
        <f>IF(B24="SI", "REGULAR", "PENDIENTE")</f>
        <v/>
      </c>
      <c r="F24" s="10">
        <f>IF(C24="SI", "APROBADO", IF(B24="SI", "ADEUDA FINAL", "ADEUDA"))</f>
        <v/>
      </c>
      <c r="G24" s="11">
        <f>IF(C24="SI", "🟢 Aprobada", IF(B24="SI", "🟡 Regular", "🟣 Pendiente"))</f>
        <v/>
      </c>
    </row>
    <row r="25" ht="22" customHeight="1">
      <c r="A25" s="7" t="inlineStr">
        <is>
          <t>📌 5° AÑO (NIVEL SUPERIOR / TRAMO SUPERIOR)</t>
        </is>
      </c>
    </row>
    <row r="26" ht="20" customHeight="1">
      <c r="A26" s="8" t="inlineStr">
        <is>
          <t>Seminario de Especialización Superior I</t>
        </is>
      </c>
      <c r="B26" s="9" t="inlineStr">
        <is>
          <t>NO</t>
        </is>
      </c>
      <c r="C26" s="9" t="inlineStr">
        <is>
          <t>NO</t>
        </is>
      </c>
      <c r="D26" s="10" t="inlineStr">
        <is>
          <t>5° Año (Nivel Superior / Tramo Superior)</t>
        </is>
      </c>
      <c r="E26" s="10">
        <f>IF(B26="SI", "REGULAR", "PENDIENTE")</f>
        <v/>
      </c>
      <c r="F26" s="10">
        <f>IF(C26="SI", "APROBADO", IF(B26="SI", "ADEUDA FINAL", "ADEUDA"))</f>
        <v/>
      </c>
      <c r="G26" s="11">
        <f>IF(C26="SI", "🟢 Aprobada", IF(B26="SI", "🟡 Regular", "🟣 Pendiente"))</f>
        <v/>
      </c>
    </row>
    <row r="27" ht="20" customHeight="1">
      <c r="A27" s="8" t="inlineStr">
        <is>
          <t>Taller de Investigación Aplicada</t>
        </is>
      </c>
      <c r="B27" s="9" t="inlineStr">
        <is>
          <t>NO</t>
        </is>
      </c>
      <c r="C27" s="9" t="inlineStr">
        <is>
          <t>NO</t>
        </is>
      </c>
      <c r="D27" s="10" t="inlineStr">
        <is>
          <t>5° Año (Nivel Superior / Tramo Superior)</t>
        </is>
      </c>
      <c r="E27" s="10">
        <f>IF(B27="SI", "REGULAR", "PENDIENTE")</f>
        <v/>
      </c>
      <c r="F27" s="10">
        <f>IF(C27="SI", "APROBADO", IF(B27="SI", "ADEUDA FINAL", "ADEUDA"))</f>
        <v/>
      </c>
      <c r="G27" s="11">
        <f>IF(C27="SI", "🟢 Aprobada", IF(B27="SI", "🟡 Regular", "🟣 Pendiente"))</f>
        <v/>
      </c>
    </row>
    <row r="28" ht="20" customHeight="1">
      <c r="A28" s="8" t="inlineStr">
        <is>
          <t>Didáctica de Nivel Superior</t>
        </is>
      </c>
      <c r="B28" s="9" t="inlineStr">
        <is>
          <t>NO</t>
        </is>
      </c>
      <c r="C28" s="9" t="inlineStr">
        <is>
          <t>NO</t>
        </is>
      </c>
      <c r="D28" s="10" t="inlineStr">
        <is>
          <t>5° Año (Nivel Superior / Tramo Superior)</t>
        </is>
      </c>
      <c r="E28" s="10">
        <f>IF(B28="SI", "REGULAR", "PENDIENTE")</f>
        <v/>
      </c>
      <c r="F28" s="10">
        <f>IF(C28="SI", "APROBADO", IF(B28="SI", "ADEUDA FINAL", "ADEUDA"))</f>
        <v/>
      </c>
      <c r="G28" s="11">
        <f>IF(C28="SI", "🟢 Aprobada", IF(B28="SI", "🟡 Regular", "🟣 Pendiente"))</f>
        <v/>
      </c>
    </row>
    <row r="29" ht="20" customHeight="1">
      <c r="A29" s="8" t="inlineStr">
        <is>
          <t>Práctica de Nivel Superior I</t>
        </is>
      </c>
      <c r="B29" s="9" t="inlineStr">
        <is>
          <t>NO</t>
        </is>
      </c>
      <c r="C29" s="9" t="inlineStr">
        <is>
          <t>NO</t>
        </is>
      </c>
      <c r="D29" s="10" t="inlineStr">
        <is>
          <t>5° Año (Nivel Superior / Tramo Superior)</t>
        </is>
      </c>
      <c r="E29" s="10">
        <f>IF(B29="SI", "REGULAR", "PENDIENTE")</f>
        <v/>
      </c>
      <c r="F29" s="10">
        <f>IF(C29="SI", "APROBADO", IF(B29="SI", "ADEUDA FINAL", "ADEUDA"))</f>
        <v/>
      </c>
      <c r="G29" s="11">
        <f>IF(C29="SI", "🟢 Aprobada", IF(B29="SI", "🟡 Regular", "🟣 Pendiente"))</f>
        <v/>
      </c>
    </row>
    <row r="30" ht="22" customHeight="1">
      <c r="A30" s="7" t="inlineStr">
        <is>
          <t>📌 6° AÑO (NIVEL SUPERIOR / TRAMO SUPERIOR)</t>
        </is>
      </c>
    </row>
    <row r="31" ht="20" customHeight="1">
      <c r="A31" s="8" t="inlineStr">
        <is>
          <t>Seminario de Especialización Superior II</t>
        </is>
      </c>
      <c r="B31" s="9" t="inlineStr">
        <is>
          <t>NO</t>
        </is>
      </c>
      <c r="C31" s="9" t="inlineStr">
        <is>
          <t>NO</t>
        </is>
      </c>
      <c r="D31" s="10" t="inlineStr">
        <is>
          <t>6° Año (Nivel Superior / Tramo Superior)</t>
        </is>
      </c>
      <c r="E31" s="10">
        <f>IF(B31="SI", "REGULAR", "PENDIENTE")</f>
        <v/>
      </c>
      <c r="F31" s="10">
        <f>IF(C31="SI", "APROBADO", IF(B31="SI", "ADEUDA FINAL", "ADEUDA"))</f>
        <v/>
      </c>
      <c r="G31" s="11">
        <f>IF(C31="SI", "🟢 Aprobada", IF(B31="SI", "🟡 Regular", "🟣 Pendiente"))</f>
        <v/>
      </c>
    </row>
    <row r="32" ht="20" customHeight="1">
      <c r="A32" s="8" t="inlineStr">
        <is>
          <t>Tesis / Trabajo Final de Licenciatura</t>
        </is>
      </c>
      <c r="B32" s="9" t="inlineStr">
        <is>
          <t>NO</t>
        </is>
      </c>
      <c r="C32" s="9" t="inlineStr">
        <is>
          <t>NO</t>
        </is>
      </c>
      <c r="D32" s="10" t="inlineStr">
        <is>
          <t>6° Año (Nivel Superior / Tramo Superior)</t>
        </is>
      </c>
      <c r="E32" s="10">
        <f>IF(B32="SI", "REGULAR", "PENDIENTE")</f>
        <v/>
      </c>
      <c r="F32" s="10">
        <f>IF(C32="SI", "APROBADO", IF(B32="SI", "ADEUDA FINAL", "ADEUDA"))</f>
        <v/>
      </c>
      <c r="G32" s="11">
        <f>IF(C32="SI", "🟢 Aprobada", IF(B32="SI", "🟡 Regular", "🟣 Pendiente"))</f>
        <v/>
      </c>
    </row>
    <row r="33" ht="20" customHeight="1">
      <c r="A33" s="8" t="inlineStr">
        <is>
          <t>Práctica de Nivel Superior II</t>
        </is>
      </c>
      <c r="B33" s="9" t="inlineStr">
        <is>
          <t>NO</t>
        </is>
      </c>
      <c r="C33" s="9" t="inlineStr">
        <is>
          <t>NO</t>
        </is>
      </c>
      <c r="D33" s="10" t="inlineStr">
        <is>
          <t>6° Año (Nivel Superior / Tramo Superior)</t>
        </is>
      </c>
      <c r="E33" s="10">
        <f>IF(B33="SI", "REGULAR", "PENDIENTE")</f>
        <v/>
      </c>
      <c r="F33" s="10">
        <f>IF(C33="SI", "APROBADO", IF(B33="SI", "ADEUDA FINAL", "ADEUDA"))</f>
        <v/>
      </c>
      <c r="G33" s="11">
        <f>IF(C33="SI", "🟢 Aprobada", IF(B33="SI", "🟡 Regular", "🟣 Pendiente"))</f>
        <v/>
      </c>
    </row>
    <row r="34" ht="20" customHeight="1">
      <c r="A34" s="8" t="inlineStr">
        <is>
          <t>Acreditación de Residencia Superior</t>
        </is>
      </c>
      <c r="B34" s="9" t="inlineStr">
        <is>
          <t>NO</t>
        </is>
      </c>
      <c r="C34" s="9" t="inlineStr">
        <is>
          <t>NO</t>
        </is>
      </c>
      <c r="D34" s="10" t="inlineStr">
        <is>
          <t>6° Año (Nivel Superior / Tramo Superior)</t>
        </is>
      </c>
      <c r="E34" s="10">
        <f>IF(B34="SI", "REGULAR", "PENDIENTE")</f>
        <v/>
      </c>
      <c r="F34" s="10">
        <f>IF(C34="SI", "APROBADO", IF(B34="SI", "ADEUDA FINAL", "ADEUDA"))</f>
        <v/>
      </c>
      <c r="G34" s="11">
        <f>IF(C34="SI", "🟢 Aprobada", IF(B34="SI", "🟡 Regular", "🟣 Pendiente"))</f>
        <v/>
      </c>
    </row>
  </sheetData>
  <mergeCells count="16">
    <mergeCell ref="I14:J14"/>
    <mergeCell ref="I12:J12"/>
    <mergeCell ref="A1:G1"/>
    <mergeCell ref="I15:J15"/>
    <mergeCell ref="I10:J10"/>
    <mergeCell ref="I1:K1"/>
    <mergeCell ref="I11:J11"/>
    <mergeCell ref="A20:G20"/>
    <mergeCell ref="A30:G30"/>
    <mergeCell ref="A2:G2"/>
    <mergeCell ref="A15:G15"/>
    <mergeCell ref="I13:J13"/>
    <mergeCell ref="A25:G25"/>
    <mergeCell ref="I9:J9"/>
    <mergeCell ref="A10:G10"/>
    <mergeCell ref="A5:G5"/>
  </mergeCells>
  <dataValidations count="1">
    <dataValidation sqref="B6 B7 B8 B9 B11 B12 B13 B14 B16 B17 B18 B19 B21 B22 B23 B24 B26 B27 B28 B29 B31 B32 B33 B34 C6 C7 C8 C9 C11 C12 C13 C14 C16 C17 C18 C19 C21 C22 C23 C24 C26 C27 C28 C29 C31 C32 C33 C34"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2026-08-31T00:38:50Z</dcterms:created>
  <dcterms:modified xmlns:dcterms="http://purl.org/dc/terms/" xmlns:xsi="http://www.w3.org/2001/XMLSchema-instance" xsi:type="dcterms:W3CDTF">2026-08-31T00:38:50Z</dcterms:modified>
</cp:coreProperties>
</file>