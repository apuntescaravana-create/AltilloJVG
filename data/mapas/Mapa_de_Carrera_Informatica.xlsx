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INFORMÁTICA</t>
        </is>
      </c>
      <c r="I1" s="2" t="inlineStr">
        <is>
          <t>CONTROL DE TRAYECTORIA</t>
        </is>
      </c>
    </row>
    <row r="2" ht="22" customHeight="1">
      <c r="A2" s="3" t="inlineStr">
        <is>
          <t>La Caravana + Estudiantes Independientes | Altillo JVG - ISP Joaquín V. González</t>
        </is>
      </c>
      <c r="I2" s="4" t="inlineStr">
        <is>
          <t>Total de Materias del Plan</t>
        </is>
      </c>
      <c r="J2" s="5" t="n">
        <v>50</v>
      </c>
    </row>
    <row r="3" ht="22" customHeight="1">
      <c r="I3" s="4" t="inlineStr">
        <is>
          <t>Materias con Cursada Regular</t>
        </is>
      </c>
      <c r="J3" s="5">
        <f>COUNTIF(B6:B61,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COUNTIF(C6:C61, "SI")</f>
        <v/>
      </c>
    </row>
    <row r="5" ht="22" customHeight="1">
      <c r="A5" s="7" t="inlineStr">
        <is>
          <t>📌 1° AÑO</t>
        </is>
      </c>
      <c r="I5" s="4" t="inlineStr">
        <is>
          <t>Finales Adeudados</t>
        </is>
      </c>
      <c r="J5" s="5">
        <f>COUNTIF(F6:F61, "ADEUDA FINAL")</f>
        <v/>
      </c>
    </row>
    <row r="6" ht="22" customHeight="1">
      <c r="A6" s="8" t="inlineStr">
        <is>
          <t>Álgebra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COUNTIF(B6:B61, "SI")/50</f>
        <v/>
      </c>
    </row>
    <row r="7" ht="22" customHeight="1">
      <c r="A7" s="8" t="inlineStr">
        <is>
          <t>Diseño I</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COUNTIF(C6:C61, "SI")/50</f>
        <v/>
      </c>
    </row>
    <row r="8" ht="20" customHeight="1">
      <c r="A8" s="8" t="inlineStr">
        <is>
          <t>Herramientas Informaticas</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Informática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Lectura, Escritura y Oralidad I (LEO 1)</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Pedagogía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Programacion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Psicología EDUCACIONAL</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Sujetos de Nivel</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Trabajo de Campo I</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2" customHeight="1">
      <c r="A16" s="7" t="inlineStr">
        <is>
          <t>📌 2° AÑO</t>
        </is>
      </c>
    </row>
    <row r="17" ht="20" customHeight="1">
      <c r="A17" s="8" t="inlineStr">
        <is>
          <t>CALCULO PARA Informática</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Didáctica GENERAL</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Diseño II (taller)</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Educación SEXUAL INTEGRAL</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Programacion II</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Sistemas Informaticos</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Tecnologia de la Informacion y la Comun</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Trabajo de Campo II</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2" customHeight="1">
      <c r="A25" s="7" t="inlineStr">
        <is>
          <t>📌 3° AÑO</t>
        </is>
      </c>
    </row>
    <row r="26" ht="20" customHeight="1">
      <c r="A26" s="8" t="inlineStr">
        <is>
          <t>Derecho Humanos, Sociedad y Estado</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Discursos Digitales</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Filosofía</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Informática Educativa I</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Inglés I</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LOGICA Informática</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Programacion III</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Redes y Comunicación de Datos</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2" customHeight="1">
      <c r="A34" s="7" t="inlineStr">
        <is>
          <t>📌 4° AÑO</t>
        </is>
      </c>
    </row>
    <row r="35" ht="20" customHeight="1">
      <c r="A35" s="8" t="inlineStr">
        <is>
          <t>Const. de la Pract. Docente I</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HISTORIA DE LA Educación ARGENTINA</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Informática Educativa II</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Inglés II</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Nuevos Escenarios Cultura Tecnol y Sub</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Proyectos Educativos</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0" customHeight="1">
      <c r="A41" s="8" t="inlineStr">
        <is>
          <t>Recursos Inform. Aplic.a Otras Discip</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Recursos Informaticos</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Tecnicas Digitales</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2" customHeight="1">
      <c r="A44" s="7" t="inlineStr">
        <is>
          <t>📌 5° AÑO (NIVEL SUPERIOR / TRAMO SUPERIOR)</t>
        </is>
      </c>
    </row>
    <row r="45" ht="20" customHeight="1">
      <c r="A45" s="8" t="inlineStr">
        <is>
          <t>Construcción de la Práctica DocenteII Y RESID. N. SUPERIOR</t>
        </is>
      </c>
      <c r="B45" s="9" t="inlineStr">
        <is>
          <t>NO</t>
        </is>
      </c>
      <c r="C45" s="9" t="inlineStr">
        <is>
          <t>NO</t>
        </is>
      </c>
      <c r="D45" s="10" t="inlineStr">
        <is>
          <t>5° Año (Nivel Superior / Tramo Superior)</t>
        </is>
      </c>
      <c r="E45" s="10">
        <f>IF(B45="SI", "REGULAR", "PENDIENTE")</f>
        <v/>
      </c>
      <c r="F45" s="10">
        <f>IF(C45="SI", "APROBADO", IF(B45="SI", "ADEUDA FINAL", "ADEUDA"))</f>
        <v/>
      </c>
      <c r="G45" s="11">
        <f>IF(C45="SI", "🟢 Aprobada", IF(B45="SI", "🟡 Regular", "🟣 Pendiente"))</f>
        <v/>
      </c>
    </row>
    <row r="46" ht="20" customHeight="1">
      <c r="A46" s="8" t="inlineStr">
        <is>
          <t>Diseño de Sistemas (seminario)</t>
        </is>
      </c>
      <c r="B46" s="9" t="inlineStr">
        <is>
          <t>NO</t>
        </is>
      </c>
      <c r="C46" s="9" t="inlineStr">
        <is>
          <t>NO</t>
        </is>
      </c>
      <c r="D46" s="10" t="inlineStr">
        <is>
          <t>5° Año (Nivel Superior / Tramo Superior)</t>
        </is>
      </c>
      <c r="E46" s="10">
        <f>IF(B46="SI", "REGULAR", "PENDIENTE")</f>
        <v/>
      </c>
      <c r="F46" s="10">
        <f>IF(C46="SI", "APROBADO", IF(B46="SI", "ADEUDA FINAL", "ADEUDA"))</f>
        <v/>
      </c>
      <c r="G46" s="11">
        <f>IF(C46="SI", "🟢 Aprobada", IF(B46="SI", "🟡 Regular", "🟣 Pendiente"))</f>
        <v/>
      </c>
    </row>
    <row r="47" ht="20" customHeight="1">
      <c r="A47" s="8" t="inlineStr">
        <is>
          <t>Inteligencia Artificial</t>
        </is>
      </c>
      <c r="B47" s="9" t="inlineStr">
        <is>
          <t>NO</t>
        </is>
      </c>
      <c r="C47" s="9" t="inlineStr">
        <is>
          <t>NO</t>
        </is>
      </c>
      <c r="D47" s="10" t="inlineStr">
        <is>
          <t>5° Año (Nivel Superior / Tramo Superior)</t>
        </is>
      </c>
      <c r="E47" s="10">
        <f>IF(B47="SI", "REGULAR", "PENDIENTE")</f>
        <v/>
      </c>
      <c r="F47" s="10">
        <f>IF(C47="SI", "APROBADO", IF(B47="SI", "ADEUDA FINAL", "ADEUDA"))</f>
        <v/>
      </c>
      <c r="G47" s="11">
        <f>IF(C47="SI", "🟢 Aprobada", IF(B47="SI", "🟡 Regular", "🟣 Pendiente"))</f>
        <v/>
      </c>
    </row>
    <row r="48" ht="20" customHeight="1">
      <c r="A48" s="8" t="inlineStr">
        <is>
          <t>LENGUA EXTRANJERA PORTUGUES (Cuatrim)</t>
        </is>
      </c>
      <c r="B48" s="9" t="inlineStr">
        <is>
          <t>NO</t>
        </is>
      </c>
      <c r="C48" s="9" t="inlineStr">
        <is>
          <t>NO</t>
        </is>
      </c>
      <c r="D48" s="10" t="inlineStr">
        <is>
          <t>5° Año (Nivel Superior / Tramo Superior)</t>
        </is>
      </c>
      <c r="E48" s="10">
        <f>IF(B48="SI", "REGULAR", "PENDIENTE")</f>
        <v/>
      </c>
      <c r="F48" s="10">
        <f>IF(C48="SI", "APROBADO", IF(B48="SI", "ADEUDA FINAL", "ADEUDA"))</f>
        <v/>
      </c>
      <c r="G48" s="11">
        <f>IF(C48="SI", "🟢 Aprobada", IF(B48="SI", "🟡 Regular", "🟣 Pendiente"))</f>
        <v/>
      </c>
    </row>
    <row r="49" ht="20" customHeight="1">
      <c r="A49" s="8" t="inlineStr">
        <is>
          <t>SISTEMA Y Política Educativa (1° CUATRIM.)</t>
        </is>
      </c>
      <c r="B49" s="9" t="inlineStr">
        <is>
          <t>NO</t>
        </is>
      </c>
      <c r="C49" s="9" t="inlineStr">
        <is>
          <t>NO</t>
        </is>
      </c>
      <c r="D49" s="10" t="inlineStr">
        <is>
          <t>5° Año (Nivel Superior / Tramo Superior)</t>
        </is>
      </c>
      <c r="E49" s="10">
        <f>IF(B49="SI", "REGULAR", "PENDIENTE")</f>
        <v/>
      </c>
      <c r="F49" s="10">
        <f>IF(C49="SI", "APROBADO", IF(B49="SI", "ADEUDA FINAL", "ADEUDA"))</f>
        <v/>
      </c>
      <c r="G49" s="11">
        <f>IF(C49="SI", "🟢 Aprobada", IF(B49="SI", "🟡 Regular", "🟣 Pendiente"))</f>
        <v/>
      </c>
    </row>
    <row r="50" ht="20" customHeight="1">
      <c r="A50" s="8" t="inlineStr">
        <is>
          <t>Modelización Matemática y Simulación</t>
        </is>
      </c>
      <c r="B50" s="9" t="inlineStr">
        <is>
          <t>NO</t>
        </is>
      </c>
      <c r="C50" s="9" t="inlineStr">
        <is>
          <t>NO</t>
        </is>
      </c>
      <c r="D50" s="10" t="inlineStr">
        <is>
          <t>5° Año (Nivel Superior / Tramo Superior)</t>
        </is>
      </c>
      <c r="E50" s="10">
        <f>IF(B50="SI", "REGULAR", "PENDIENTE")</f>
        <v/>
      </c>
      <c r="F50" s="10">
        <f>IF(C50="SI", "APROBADO", IF(B50="SI", "ADEUDA FINAL", "ADEUDA"))</f>
        <v/>
      </c>
      <c r="G50" s="11">
        <f>IF(C50="SI", "🟢 Aprobada", IF(B50="SI", "🟡 Regular", "🟣 Pendiente"))</f>
        <v/>
      </c>
    </row>
    <row r="51" ht="22" customHeight="1">
      <c r="A51" s="7" t="inlineStr">
        <is>
          <t>📌 6° AÑO (NIVEL SUPERIOR / TRAMO SUPERIOR)</t>
        </is>
      </c>
    </row>
    <row r="52" ht="20" customHeight="1">
      <c r="A52" s="8" t="inlineStr">
        <is>
          <t>Seminario de Especialización Superior II</t>
        </is>
      </c>
      <c r="B52" s="9" t="inlineStr">
        <is>
          <t>NO</t>
        </is>
      </c>
      <c r="C52" s="9" t="inlineStr">
        <is>
          <t>NO</t>
        </is>
      </c>
      <c r="D52" s="10" t="inlineStr">
        <is>
          <t>6° Año (Nivel Superior / Tramo Superior)</t>
        </is>
      </c>
      <c r="E52" s="10">
        <f>IF(B52="SI", "REGULAR", "PENDIENTE")</f>
        <v/>
      </c>
      <c r="F52" s="10">
        <f>IF(C52="SI", "APROBADO", IF(B52="SI", "ADEUDA FINAL", "ADEUDA"))</f>
        <v/>
      </c>
      <c r="G52" s="11">
        <f>IF(C52="SI", "🟢 Aprobada", IF(B52="SI", "🟡 Regular", "🟣 Pendiente"))</f>
        <v/>
      </c>
    </row>
    <row r="53" ht="20" customHeight="1">
      <c r="A53" s="8" t="inlineStr">
        <is>
          <t>Tesis / Trabajo Final de Licenciatura</t>
        </is>
      </c>
      <c r="B53" s="9" t="inlineStr">
        <is>
          <t>NO</t>
        </is>
      </c>
      <c r="C53" s="9" t="inlineStr">
        <is>
          <t>NO</t>
        </is>
      </c>
      <c r="D53" s="10" t="inlineStr">
        <is>
          <t>6° Año (Nivel Superior / Tramo Superior)</t>
        </is>
      </c>
      <c r="E53" s="10">
        <f>IF(B53="SI", "REGULAR", "PENDIENTE")</f>
        <v/>
      </c>
      <c r="F53" s="10">
        <f>IF(C53="SI", "APROBADO", IF(B53="SI", "ADEUDA FINAL", "ADEUDA"))</f>
        <v/>
      </c>
      <c r="G53" s="11">
        <f>IF(C53="SI", "🟢 Aprobada", IF(B53="SI", "🟡 Regular", "🟣 Pendiente"))</f>
        <v/>
      </c>
    </row>
    <row r="54" ht="20" customHeight="1">
      <c r="A54" s="8" t="inlineStr">
        <is>
          <t>Práctica de Nivel Superior II</t>
        </is>
      </c>
      <c r="B54" s="9" t="inlineStr">
        <is>
          <t>NO</t>
        </is>
      </c>
      <c r="C54" s="9" t="inlineStr">
        <is>
          <t>NO</t>
        </is>
      </c>
      <c r="D54" s="10" t="inlineStr">
        <is>
          <t>6° Año (Nivel Superior / Tramo Superior)</t>
        </is>
      </c>
      <c r="E54" s="10">
        <f>IF(B54="SI", "REGULAR", "PENDIENTE")</f>
        <v/>
      </c>
      <c r="F54" s="10">
        <f>IF(C54="SI", "APROBADO", IF(B54="SI", "ADEUDA FINAL", "ADEUDA"))</f>
        <v/>
      </c>
      <c r="G54" s="11">
        <f>IF(C54="SI", "🟢 Aprobada", IF(B54="SI", "🟡 Regular", "🟣 Pendiente"))</f>
        <v/>
      </c>
    </row>
    <row r="55" ht="20" customHeight="1">
      <c r="A55" s="8" t="inlineStr">
        <is>
          <t>Acreditación de Residencia Superior</t>
        </is>
      </c>
      <c r="B55" s="9" t="inlineStr">
        <is>
          <t>NO</t>
        </is>
      </c>
      <c r="C55" s="9" t="inlineStr">
        <is>
          <t>NO</t>
        </is>
      </c>
      <c r="D55" s="10" t="inlineStr">
        <is>
          <t>6° Año (Nivel Superior / Tramo Superior)</t>
        </is>
      </c>
      <c r="E55" s="10">
        <f>IF(B55="SI", "REGULAR", "PENDIENTE")</f>
        <v/>
      </c>
      <c r="F55" s="10">
        <f>IF(C55="SI", "APROBADO", IF(B55="SI", "ADEUDA FINAL", "ADEUDA"))</f>
        <v/>
      </c>
      <c r="G55" s="11">
        <f>IF(C55="SI", "🟢 Aprobada", IF(B55="SI", "🟡 Regular", "🟣 Pendiente"))</f>
        <v/>
      </c>
    </row>
    <row r="56" ht="22" customHeight="1">
      <c r="A56" s="7" t="inlineStr">
        <is>
          <t>📌 GENERAL / OPTATIVAS</t>
        </is>
      </c>
    </row>
    <row r="57" ht="20" customHeight="1">
      <c r="A57" s="8" t="inlineStr">
        <is>
          <t>Álgebra</t>
        </is>
      </c>
      <c r="B57" s="9" t="inlineStr">
        <is>
          <t>NO</t>
        </is>
      </c>
      <c r="C57" s="9" t="inlineStr">
        <is>
          <t>NO</t>
        </is>
      </c>
      <c r="D57" s="10" t="inlineStr">
        <is>
          <t>General / Optativas</t>
        </is>
      </c>
      <c r="E57" s="10">
        <f>IF(B57="SI", "REGULAR", "PENDIENTE")</f>
        <v/>
      </c>
      <c r="F57" s="10">
        <f>IF(C57="SI", "APROBADO", IF(B57="SI", "ADEUDA FINAL", "ADEUDA"))</f>
        <v/>
      </c>
      <c r="G57" s="11">
        <f>IF(C57="SI", "🟢 Aprobada", IF(B57="SI", "🟡 Regular", "🟣 Pendiente"))</f>
        <v/>
      </c>
    </row>
    <row r="58" ht="20" customHeight="1">
      <c r="A58" s="8" t="inlineStr">
        <is>
          <t>Derechos Humanos SOCIEDAD Y ESTADO</t>
        </is>
      </c>
      <c r="B58" s="9" t="inlineStr">
        <is>
          <t>NO</t>
        </is>
      </c>
      <c r="C58" s="9" t="inlineStr">
        <is>
          <t>NO</t>
        </is>
      </c>
      <c r="D58" s="10" t="inlineStr">
        <is>
          <t>General / Optativas</t>
        </is>
      </c>
      <c r="E58" s="10">
        <f>IF(B58="SI", "REGULAR", "PENDIENTE")</f>
        <v/>
      </c>
      <c r="F58" s="10">
        <f>IF(C58="SI", "APROBADO", IF(B58="SI", "ADEUDA FINAL", "ADEUDA"))</f>
        <v/>
      </c>
      <c r="G58" s="11">
        <f>IF(C58="SI", "🟢 Aprobada", IF(B58="SI", "🟡 Regular", "🟣 Pendiente"))</f>
        <v/>
      </c>
    </row>
    <row r="59" ht="20" customHeight="1">
      <c r="A59" s="8" t="inlineStr">
        <is>
          <t>Diseño de Sistemas</t>
        </is>
      </c>
      <c r="B59" s="9" t="inlineStr">
        <is>
          <t>NO</t>
        </is>
      </c>
      <c r="C59" s="9" t="inlineStr">
        <is>
          <t>NO</t>
        </is>
      </c>
      <c r="D59" s="10" t="inlineStr">
        <is>
          <t>General / Optativas</t>
        </is>
      </c>
      <c r="E59" s="10">
        <f>IF(B59="SI", "REGULAR", "PENDIENTE")</f>
        <v/>
      </c>
      <c r="F59" s="10">
        <f>IF(C59="SI", "APROBADO", IF(B59="SI", "ADEUDA FINAL", "ADEUDA"))</f>
        <v/>
      </c>
      <c r="G59" s="11">
        <f>IF(C59="SI", "🟢 Aprobada", IF(B59="SI", "🟡 Regular", "🟣 Pendiente"))</f>
        <v/>
      </c>
    </row>
    <row r="60" ht="20" customHeight="1">
      <c r="A60" s="8" t="inlineStr">
        <is>
          <t>Diseño II</t>
        </is>
      </c>
      <c r="B60" s="9" t="inlineStr">
        <is>
          <t>NO</t>
        </is>
      </c>
      <c r="C60" s="9" t="inlineStr">
        <is>
          <t>NO</t>
        </is>
      </c>
      <c r="D60" s="10" t="inlineStr">
        <is>
          <t>General / Optativas</t>
        </is>
      </c>
      <c r="E60" s="10">
        <f>IF(B60="SI", "REGULAR", "PENDIENTE")</f>
        <v/>
      </c>
      <c r="F60" s="10">
        <f>IF(C60="SI", "APROBADO", IF(B60="SI", "ADEUDA FINAL", "ADEUDA"))</f>
        <v/>
      </c>
      <c r="G60" s="11">
        <f>IF(C60="SI", "🟢 Aprobada", IF(B60="SI", "🟡 Regular", "🟣 Pendiente"))</f>
        <v/>
      </c>
    </row>
    <row r="61" ht="20" customHeight="1">
      <c r="A61" s="8" t="inlineStr">
        <is>
          <t>Nuevos Escenarios, Culturas Tecnolog</t>
        </is>
      </c>
      <c r="B61" s="9" t="inlineStr">
        <is>
          <t>NO</t>
        </is>
      </c>
      <c r="C61" s="9" t="inlineStr">
        <is>
          <t>NO</t>
        </is>
      </c>
      <c r="D61" s="10" t="inlineStr">
        <is>
          <t>General / Optativas</t>
        </is>
      </c>
      <c r="E61" s="10">
        <f>IF(B61="SI", "REGULAR", "PENDIENTE")</f>
        <v/>
      </c>
      <c r="F61" s="10">
        <f>IF(C61="SI", "APROBADO", IF(B61="SI", "ADEUDA FINAL", "ADEUDA"))</f>
        <v/>
      </c>
      <c r="G61" s="11">
        <f>IF(C61="SI", "🟢 Aprobada", IF(B61="SI", "🟡 Regular", "🟣 Pendiente"))</f>
        <v/>
      </c>
    </row>
  </sheetData>
  <mergeCells count="17">
    <mergeCell ref="I14:J14"/>
    <mergeCell ref="A44:G44"/>
    <mergeCell ref="I12:J12"/>
    <mergeCell ref="A1:G1"/>
    <mergeCell ref="A56:G56"/>
    <mergeCell ref="I15:J15"/>
    <mergeCell ref="I10:J10"/>
    <mergeCell ref="A34:G34"/>
    <mergeCell ref="I1:K1"/>
    <mergeCell ref="I11:J11"/>
    <mergeCell ref="A16:G16"/>
    <mergeCell ref="A2:G2"/>
    <mergeCell ref="I13:J13"/>
    <mergeCell ref="A25:G25"/>
    <mergeCell ref="A51:G51"/>
    <mergeCell ref="I9:J9"/>
    <mergeCell ref="A5:G5"/>
  </mergeCells>
  <dataValidations count="1">
    <dataValidation sqref="B6 B7 B8 B9 B10 B11 B12 B13 B14 B15 B17 B18 B19 B20 B21 B22 B23 B24 B26 B27 B28 B29 B30 B31 B32 B33 B35 B36 B37 B38 B39 B40 B41 B42 B43 B45 B46 B47 B48 B49 B50 B52 B53 B54 B55 B57 B58 B59 B60 B61 C6 C7 C8 C9 C10 C11 C12 C13 C14 C15 C17 C18 C19 C20 C21 C22 C23 C24 C26 C27 C28 C29 C30 C31 C32 C33 C35 C36 C37 C38 C39 C40 C41 C42 C43 C45 C46 C47 C48 C49 C50 C52 C53 C54 C55 C57 C58 C59 C60 C61"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