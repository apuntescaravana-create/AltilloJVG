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INFORMÁTICA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62</v>
      </c>
    </row>
    <row r="5" ht="24" customHeight="1">
      <c r="A5" s="8" t="inlineStr">
        <is>
          <t>ALGEBRA I "B"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COUNTIF(B4:B72, "S*") + COUNTIF(B4:B72, TRUE)</f>
        <v/>
      </c>
    </row>
    <row r="6" ht="24" customHeight="1">
      <c r="A6" s="11" t="inlineStr">
        <is>
          <t>DISEÑO I "B"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COUNTIF(C4:C72, "S*") + COUNTIF(C4:C72, TRUE)</f>
        <v/>
      </c>
    </row>
    <row r="7" ht="24" customHeight="1">
      <c r="A7" s="8" t="inlineStr">
        <is>
          <t>HERRAMIENTAS INFORMATICAS "B"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INFORMATICA "B"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J5/62</f>
        <v/>
      </c>
    </row>
    <row r="9" ht="24" customHeight="1">
      <c r="A9" s="8" t="inlineStr">
        <is>
          <t>LECTURA, ESCRITURA Y ORALIDAD I "B"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J6/62</f>
        <v/>
      </c>
    </row>
    <row r="10" ht="20" customHeight="1">
      <c r="A10" s="11" t="inlineStr">
        <is>
          <t>PEDAGOGIA "B"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PROGRAMACION I "B"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PSICOLOGIA EDUCACIONAL "B"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SUJETOS DE NIVEL "B"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TRABAJO DE CAMPO I "B"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1°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5" t="inlineStr">
        <is>
          <t>📌 2° AÑO</t>
        </is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CALCULO PARA INFORMATICA "B"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2°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DIDACTICA GENERAL "B"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2°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DISEÑO II (TALLER) "B"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2°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EDUCACION SEXUAL INTEGRAL (Cuat) "B"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2°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LECTURA, ESCRITURA Y ORALIDAD II "B"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2°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PROGRAMACION II "B"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2°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SISTEMAS INFORMATICOS "B"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2°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TECNOLOGIA DE LA INFORMACION Y LA COMUN.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2°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TRABAJO DE CAMPO II "B"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2°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4" customHeight="1">
      <c r="A25" s="5" t="inlineStr">
        <is>
          <t>📌 3° AÑO</t>
        </is>
      </c>
    </row>
    <row r="26" ht="20" customHeight="1">
      <c r="A26" s="11" t="inlineStr">
        <is>
          <t>DERECHO HUMANOS, SOCIEDAD Y ESTADO "B"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3°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DISCURSOS DIGITALES "B"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3°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FILOSOFIA "B"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3°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INFORMATICA EDUCATIVA I "B"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3°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INGLES I "B"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3°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LOGICA INFORMATICA "B"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3°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PROGRAMACION III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3°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PROGRAMACION III "B"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3°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REDES Y COMUNICACIÓN DE DATOS "B"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3°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4" customHeight="1">
      <c r="A35" s="5" t="inlineStr">
        <is>
          <t>📌 4° AÑO</t>
        </is>
      </c>
    </row>
    <row r="36" ht="20" customHeight="1">
      <c r="A36" s="11" t="inlineStr">
        <is>
          <t>CONST. DE LA PRACT. DOCENTE I "B"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4°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HISTORIA DE LA EDUCACION ARGENTINA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4°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INFORMATICA EDUCATIVA II "B"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4°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INGLES II "B"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4°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NUEVOS ESCENARIOS CULTURA TECNOL Y SUB "B"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4°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PROYECTOS EDUCATIVOS "B"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4°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RECURSOS INFORM. APLIC.A OTRAS DISCIP."B"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4° Año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RECURSOS INFORMATICOS "B"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4°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TECNICAS DIGITALES "B"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4° Año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4" customHeight="1">
      <c r="A45" s="5" t="inlineStr">
        <is>
          <t>📌 5° AÑO (NIVEL SUPERIOR / TRAMO SUPERIOR)</t>
        </is>
      </c>
    </row>
    <row r="46" ht="20" customHeight="1">
      <c r="A46" s="11" t="inlineStr">
        <is>
          <t>CONST.PRACT.DOC.II Y RESID. N. SUPERIOR "B"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5° Año (Nivel Superior / Tramo Superior)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DISEÑO DE SISTEMAS (SEMINARIO) "B"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5° Año (Nivel Superior / Tramo Superior)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INTELIGENCIA ARTIFICIAL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5° Año (Nivel Superior / Tramo Superior)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LENGUA EXTRANJERA PORTUGUES (Cuatrim)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5° Año (Nivel Superior / Tramo Superior)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SISTEMA Y POLITICA EDUCATIVA "B" (1° CUATRIM.)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5° Año (Nivel Superior / Tramo Superior)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MODELIZACIÓN MATEMÁTICA Y SIMULACIÓN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5° Año (Nivel Superior / Tramo Superior)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4" customHeight="1">
      <c r="A52" s="5" t="inlineStr">
        <is>
          <t>📌 6° AÑO (NIVEL SUPERIOR / TRAMO SUPERIOR)</t>
        </is>
      </c>
    </row>
    <row r="53" ht="20" customHeight="1">
      <c r="A53" s="8" t="inlineStr">
        <is>
          <t>Seminario de Especialización Superior II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6° Año (Nivel Superior / Tramo Superior)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Tesis / Trabajo Final de Licenciatura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6° Año (Nivel Superior / Tramo Superior)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0" customHeight="1">
      <c r="A55" s="8" t="inlineStr">
        <is>
          <t>Práctica de Nivel Superior II</t>
        </is>
      </c>
      <c r="B55" s="9" t="inlineStr">
        <is>
          <t>NO</t>
        </is>
      </c>
      <c r="C55" s="9" t="inlineStr">
        <is>
          <t>NO</t>
        </is>
      </c>
      <c r="D55" s="10" t="inlineStr">
        <is>
          <t>6° Año (Nivel Superior / Tramo Superior)</t>
        </is>
      </c>
      <c r="E55" s="9">
        <f>IF(OR(B55="SI",B55="SÍ",B55=TRUE),"REGULAR","PENDIENTE")</f>
        <v/>
      </c>
      <c r="F55" s="9">
        <f>IF(OR(C55="SI",C55="SÍ",C55=TRUE),"APROBADA",IF(OR(B55="SI",B55="SÍ",B55=TRUE),"RINDE FINAL","ADEUDA"))</f>
        <v/>
      </c>
      <c r="G55" s="9">
        <f>IF(OR(C55="SI",C55="SÍ",C55=TRUE),"✅ Aprobada",IF(OR(B55="SI",B55="SÍ",B55=TRUE),"⏳ Cursada (Rinde Final)","⚪ Pendiente"))</f>
        <v/>
      </c>
    </row>
    <row r="56" ht="20" customHeight="1">
      <c r="A56" s="11" t="inlineStr">
        <is>
          <t>Acreditación de Residencia Superior</t>
        </is>
      </c>
      <c r="B56" s="9" t="inlineStr">
        <is>
          <t>NO</t>
        </is>
      </c>
      <c r="C56" s="9" t="inlineStr">
        <is>
          <t>NO</t>
        </is>
      </c>
      <c r="D56" s="12" t="inlineStr">
        <is>
          <t>6° Año (Nivel Superior / Tramo Superior)</t>
        </is>
      </c>
      <c r="E56" s="9">
        <f>IF(OR(B56="SI",B56="SÍ",B56=TRUE),"REGULAR","PENDIENTE")</f>
        <v/>
      </c>
      <c r="F56" s="9">
        <f>IF(OR(C56="SI",C56="SÍ",C56=TRUE),"APROBADA",IF(OR(B56="SI",B56="SÍ",B56=TRUE),"RINDE FINAL","ADEUDA"))</f>
        <v/>
      </c>
      <c r="G56" s="9">
        <f>IF(OR(C56="SI",C56="SÍ",C56=TRUE),"✅ Aprobada",IF(OR(B56="SI",B56="SÍ",B56=TRUE),"⏳ Cursada (Rinde Final)","⚪ Pendiente"))</f>
        <v/>
      </c>
    </row>
    <row r="57" ht="24" customHeight="1">
      <c r="A57" s="5" t="inlineStr">
        <is>
          <t>📌 GENERAL / OPTATIVAS</t>
        </is>
      </c>
    </row>
    <row r="58" ht="20" customHeight="1">
      <c r="A58" s="11" t="inlineStr">
        <is>
          <t>ALGEBRA</t>
        </is>
      </c>
      <c r="B58" s="9" t="inlineStr">
        <is>
          <t>NO</t>
        </is>
      </c>
      <c r="C58" s="9" t="inlineStr">
        <is>
          <t>NO</t>
        </is>
      </c>
      <c r="D58" s="12" t="inlineStr">
        <is>
          <t>General / Optativas</t>
        </is>
      </c>
      <c r="E58" s="9">
        <f>IF(OR(B58="SI",B58="SÍ",B58=TRUE),"REGULAR","PENDIENTE")</f>
        <v/>
      </c>
      <c r="F58" s="9">
        <f>IF(OR(C58="SI",C58="SÍ",C58=TRUE),"APROBADA",IF(OR(B58="SI",B58="SÍ",B58=TRUE),"RINDE FINAL","ADEUDA"))</f>
        <v/>
      </c>
      <c r="G58" s="9">
        <f>IF(OR(C58="SI",C58="SÍ",C58=TRUE),"✅ Aprobada",IF(OR(B58="SI",B58="SÍ",B58=TRUE),"⏳ Cursada (Rinde Final)","⚪ Pendiente"))</f>
        <v/>
      </c>
    </row>
    <row r="59" ht="20" customHeight="1">
      <c r="A59" s="8" t="inlineStr">
        <is>
          <t>DDHH SOCIEDAD Y ESTADO</t>
        </is>
      </c>
      <c r="B59" s="9" t="inlineStr">
        <is>
          <t>NO</t>
        </is>
      </c>
      <c r="C59" s="9" t="inlineStr">
        <is>
          <t>NO</t>
        </is>
      </c>
      <c r="D59" s="10" t="inlineStr">
        <is>
          <t>General / Optativas</t>
        </is>
      </c>
      <c r="E59" s="9">
        <f>IF(OR(B59="SI",B59="SÍ",B59=TRUE),"REGULAR","PENDIENTE")</f>
        <v/>
      </c>
      <c r="F59" s="9">
        <f>IF(OR(C59="SI",C59="SÍ",C59=TRUE),"APROBADA",IF(OR(B59="SI",B59="SÍ",B59=TRUE),"RINDE FINAL","ADEUDA"))</f>
        <v/>
      </c>
      <c r="G59" s="9">
        <f>IF(OR(C59="SI",C59="SÍ",C59=TRUE),"✅ Aprobada",IF(OR(B59="SI",B59="SÍ",B59=TRUE),"⏳ Cursada (Rinde Final)","⚪ Pendiente"))</f>
        <v/>
      </c>
    </row>
    <row r="60" ht="20" customHeight="1">
      <c r="A60" s="11" t="inlineStr">
        <is>
          <t>DISEÑO DE SISTEMAS</t>
        </is>
      </c>
      <c r="B60" s="9" t="inlineStr">
        <is>
          <t>NO</t>
        </is>
      </c>
      <c r="C60" s="9" t="inlineStr">
        <is>
          <t>NO</t>
        </is>
      </c>
      <c r="D60" s="12" t="inlineStr">
        <is>
          <t>General / Optativas</t>
        </is>
      </c>
      <c r="E60" s="9">
        <f>IF(OR(B60="SI",B60="SÍ",B60=TRUE),"REGULAR","PENDIENTE")</f>
        <v/>
      </c>
      <c r="F60" s="9">
        <f>IF(OR(C60="SI",C60="SÍ",C60=TRUE),"APROBADA",IF(OR(B60="SI",B60="SÍ",B60=TRUE),"RINDE FINAL","ADEUDA"))</f>
        <v/>
      </c>
      <c r="G60" s="9">
        <f>IF(OR(C60="SI",C60="SÍ",C60=TRUE),"✅ Aprobada",IF(OR(B60="SI",B60="SÍ",B60=TRUE),"⏳ Cursada (Rinde Final)","⚪ Pendiente"))</f>
        <v/>
      </c>
    </row>
    <row r="61" ht="20" customHeight="1">
      <c r="A61" s="8" t="inlineStr">
        <is>
          <t>DISEÑO I</t>
        </is>
      </c>
      <c r="B61" s="9" t="inlineStr">
        <is>
          <t>NO</t>
        </is>
      </c>
      <c r="C61" s="9" t="inlineStr">
        <is>
          <t>NO</t>
        </is>
      </c>
      <c r="D61" s="10" t="inlineStr">
        <is>
          <t>General / Optativas</t>
        </is>
      </c>
      <c r="E61" s="9">
        <f>IF(OR(B61="SI",B61="SÍ",B61=TRUE),"REGULAR","PENDIENTE")</f>
        <v/>
      </c>
      <c r="F61" s="9">
        <f>IF(OR(C61="SI",C61="SÍ",C61=TRUE),"APROBADA",IF(OR(B61="SI",B61="SÍ",B61=TRUE),"RINDE FINAL","ADEUDA"))</f>
        <v/>
      </c>
      <c r="G61" s="9">
        <f>IF(OR(C61="SI",C61="SÍ",C61=TRUE),"✅ Aprobada",IF(OR(B61="SI",B61="SÍ",B61=TRUE),"⏳ Cursada (Rinde Final)","⚪ Pendiente"))</f>
        <v/>
      </c>
    </row>
    <row r="62" ht="20" customHeight="1">
      <c r="A62" s="11" t="inlineStr">
        <is>
          <t>DISEÑO II</t>
        </is>
      </c>
      <c r="B62" s="9" t="inlineStr">
        <is>
          <t>NO</t>
        </is>
      </c>
      <c r="C62" s="9" t="inlineStr">
        <is>
          <t>NO</t>
        </is>
      </c>
      <c r="D62" s="12" t="inlineStr">
        <is>
          <t>General / Optativas</t>
        </is>
      </c>
      <c r="E62" s="9">
        <f>IF(OR(B62="SI",B62="SÍ",B62=TRUE),"REGULAR","PENDIENTE")</f>
        <v/>
      </c>
      <c r="F62" s="9">
        <f>IF(OR(C62="SI",C62="SÍ",C62=TRUE),"APROBADA",IF(OR(B62="SI",B62="SÍ",B62=TRUE),"RINDE FINAL","ADEUDA"))</f>
        <v/>
      </c>
      <c r="G62" s="9">
        <f>IF(OR(C62="SI",C62="SÍ",C62=TRUE),"✅ Aprobada",IF(OR(B62="SI",B62="SÍ",B62=TRUE),"⏳ Cursada (Rinde Final)","⚪ Pendiente"))</f>
        <v/>
      </c>
    </row>
    <row r="63" ht="20" customHeight="1">
      <c r="A63" s="8" t="inlineStr">
        <is>
          <t>EDUCACION SEXUAL INTEGRAL (cuat)</t>
        </is>
      </c>
      <c r="B63" s="9" t="inlineStr">
        <is>
          <t>NO</t>
        </is>
      </c>
      <c r="C63" s="9" t="inlineStr">
        <is>
          <t>NO</t>
        </is>
      </c>
      <c r="D63" s="10" t="inlineStr">
        <is>
          <t>General / Optativas</t>
        </is>
      </c>
      <c r="E63" s="9">
        <f>IF(OR(B63="SI",B63="SÍ",B63=TRUE),"REGULAR","PENDIENTE")</f>
        <v/>
      </c>
      <c r="F63" s="9">
        <f>IF(OR(C63="SI",C63="SÍ",C63=TRUE),"APROBADA",IF(OR(B63="SI",B63="SÍ",B63=TRUE),"RINDE FINAL","ADEUDA"))</f>
        <v/>
      </c>
      <c r="G63" s="9">
        <f>IF(OR(C63="SI",C63="SÍ",C63=TRUE),"✅ Aprobada",IF(OR(B63="SI",B63="SÍ",B63=TRUE),"⏳ Cursada (Rinde Final)","⚪ Pendiente"))</f>
        <v/>
      </c>
    </row>
    <row r="64" ht="20" customHeight="1">
      <c r="A64" s="11" t="inlineStr">
        <is>
          <t>INGLES I</t>
        </is>
      </c>
      <c r="B64" s="9" t="inlineStr">
        <is>
          <t>NO</t>
        </is>
      </c>
      <c r="C64" s="9" t="inlineStr">
        <is>
          <t>NO</t>
        </is>
      </c>
      <c r="D64" s="12" t="inlineStr">
        <is>
          <t>General / Optativas</t>
        </is>
      </c>
      <c r="E64" s="9">
        <f>IF(OR(B64="SI",B64="SÍ",B64=TRUE),"REGULAR","PENDIENTE")</f>
        <v/>
      </c>
      <c r="F64" s="9">
        <f>IF(OR(C64="SI",C64="SÍ",C64=TRUE),"APROBADA",IF(OR(B64="SI",B64="SÍ",B64=TRUE),"RINDE FINAL","ADEUDA"))</f>
        <v/>
      </c>
      <c r="G64" s="9">
        <f>IF(OR(C64="SI",C64="SÍ",C64=TRUE),"✅ Aprobada",IF(OR(B64="SI",B64="SÍ",B64=TRUE),"⏳ Cursada (Rinde Final)","⚪ Pendiente"))</f>
        <v/>
      </c>
    </row>
    <row r="65" ht="20" customHeight="1">
      <c r="A65" s="8" t="inlineStr">
        <is>
          <t>INGLES II</t>
        </is>
      </c>
      <c r="B65" s="9" t="inlineStr">
        <is>
          <t>NO</t>
        </is>
      </c>
      <c r="C65" s="9" t="inlineStr">
        <is>
          <t>NO</t>
        </is>
      </c>
      <c r="D65" s="10" t="inlineStr">
        <is>
          <t>General / Optativas</t>
        </is>
      </c>
      <c r="E65" s="9">
        <f>IF(OR(B65="SI",B65="SÍ",B65=TRUE),"REGULAR","PENDIENTE")</f>
        <v/>
      </c>
      <c r="F65" s="9">
        <f>IF(OR(C65="SI",C65="SÍ",C65=TRUE),"APROBADA",IF(OR(B65="SI",B65="SÍ",B65=TRUE),"RINDE FINAL","ADEUDA"))</f>
        <v/>
      </c>
      <c r="G65" s="9">
        <f>IF(OR(C65="SI",C65="SÍ",C65=TRUE),"✅ Aprobada",IF(OR(B65="SI",B65="SÍ",B65=TRUE),"⏳ Cursada (Rinde Final)","⚪ Pendiente"))</f>
        <v/>
      </c>
    </row>
    <row r="66" ht="20" customHeight="1">
      <c r="A66" s="11" t="inlineStr">
        <is>
          <t>MODELIZACION MATEMATICA Y SIMULACION</t>
        </is>
      </c>
      <c r="B66" s="9" t="inlineStr">
        <is>
          <t>NO</t>
        </is>
      </c>
      <c r="C66" s="9" t="inlineStr">
        <is>
          <t>NO</t>
        </is>
      </c>
      <c r="D66" s="12" t="inlineStr">
        <is>
          <t>General / Optativas</t>
        </is>
      </c>
      <c r="E66" s="9">
        <f>IF(OR(B66="SI",B66="SÍ",B66=TRUE),"REGULAR","PENDIENTE")</f>
        <v/>
      </c>
      <c r="F66" s="9">
        <f>IF(OR(C66="SI",C66="SÍ",C66=TRUE),"APROBADA",IF(OR(B66="SI",B66="SÍ",B66=TRUE),"RINDE FINAL","ADEUDA"))</f>
        <v/>
      </c>
      <c r="G66" s="9">
        <f>IF(OR(C66="SI",C66="SÍ",C66=TRUE),"✅ Aprobada",IF(OR(B66="SI",B66="SÍ",B66=TRUE),"⏳ Cursada (Rinde Final)","⚪ Pendiente"))</f>
        <v/>
      </c>
    </row>
    <row r="67" ht="20" customHeight="1">
      <c r="A67" s="8" t="inlineStr">
        <is>
          <t>NUEVOS ESCENARIOS, CULTURAS TECNOLOG.</t>
        </is>
      </c>
      <c r="B67" s="9" t="inlineStr">
        <is>
          <t>NO</t>
        </is>
      </c>
      <c r="C67" s="9" t="inlineStr">
        <is>
          <t>NO</t>
        </is>
      </c>
      <c r="D67" s="10" t="inlineStr">
        <is>
          <t>General / Optativas</t>
        </is>
      </c>
      <c r="E67" s="9">
        <f>IF(OR(B67="SI",B67="SÍ",B67=TRUE),"REGULAR","PENDIENTE")</f>
        <v/>
      </c>
      <c r="F67" s="9">
        <f>IF(OR(C67="SI",C67="SÍ",C67=TRUE),"APROBADA",IF(OR(B67="SI",B67="SÍ",B67=TRUE),"RINDE FINAL","ADEUDA"))</f>
        <v/>
      </c>
      <c r="G67" s="9">
        <f>IF(OR(C67="SI",C67="SÍ",C67=TRUE),"✅ Aprobada",IF(OR(B67="SI",B67="SÍ",B67=TRUE),"⏳ Cursada (Rinde Final)","⚪ Pendiente"))</f>
        <v/>
      </c>
    </row>
    <row r="68" ht="20" customHeight="1">
      <c r="A68" s="11" t="inlineStr">
        <is>
          <t>PROGRAMACIÓN I</t>
        </is>
      </c>
      <c r="B68" s="9" t="inlineStr">
        <is>
          <t>NO</t>
        </is>
      </c>
      <c r="C68" s="9" t="inlineStr">
        <is>
          <t>NO</t>
        </is>
      </c>
      <c r="D68" s="12" t="inlineStr">
        <is>
          <t>General / Optativas</t>
        </is>
      </c>
      <c r="E68" s="9">
        <f>IF(OR(B68="SI",B68="SÍ",B68=TRUE),"REGULAR","PENDIENTE")</f>
        <v/>
      </c>
      <c r="F68" s="9">
        <f>IF(OR(C68="SI",C68="SÍ",C68=TRUE),"APROBADA",IF(OR(B68="SI",B68="SÍ",B68=TRUE),"RINDE FINAL","ADEUDA"))</f>
        <v/>
      </c>
      <c r="G68" s="9">
        <f>IF(OR(C68="SI",C68="SÍ",C68=TRUE),"✅ Aprobada",IF(OR(B68="SI",B68="SÍ",B68=TRUE),"⏳ Cursada (Rinde Final)","⚪ Pendiente"))</f>
        <v/>
      </c>
    </row>
    <row r="69" ht="20" customHeight="1">
      <c r="A69" s="8" t="inlineStr">
        <is>
          <t>PROGRAMACIÓN III</t>
        </is>
      </c>
      <c r="B69" s="9" t="inlineStr">
        <is>
          <t>NO</t>
        </is>
      </c>
      <c r="C69" s="9" t="inlineStr">
        <is>
          <t>NO</t>
        </is>
      </c>
      <c r="D69" s="10" t="inlineStr">
        <is>
          <t>General / Optativas</t>
        </is>
      </c>
      <c r="E69" s="9">
        <f>IF(OR(B69="SI",B69="SÍ",B69=TRUE),"REGULAR","PENDIENTE")</f>
        <v/>
      </c>
      <c r="F69" s="9">
        <f>IF(OR(C69="SI",C69="SÍ",C69=TRUE),"APROBADA",IF(OR(B69="SI",B69="SÍ",B69=TRUE),"RINDE FINAL","ADEUDA"))</f>
        <v/>
      </c>
      <c r="G69" s="9">
        <f>IF(OR(C69="SI",C69="SÍ",C69=TRUE),"✅ Aprobada",IF(OR(B69="SI",B69="SÍ",B69=TRUE),"⏳ Cursada (Rinde Final)","⚪ Pendiente"))</f>
        <v/>
      </c>
    </row>
    <row r="70" ht="20" customHeight="1">
      <c r="A70" s="11" t="inlineStr">
        <is>
          <t>PROYECTOS EDUCATIVOS</t>
        </is>
      </c>
      <c r="B70" s="9" t="inlineStr">
        <is>
          <t>NO</t>
        </is>
      </c>
      <c r="C70" s="9" t="inlineStr">
        <is>
          <t>NO</t>
        </is>
      </c>
      <c r="D70" s="12" t="inlineStr">
        <is>
          <t>General / Optativas</t>
        </is>
      </c>
      <c r="E70" s="9">
        <f>IF(OR(B70="SI",B70="SÍ",B70=TRUE),"REGULAR","PENDIENTE")</f>
        <v/>
      </c>
      <c r="F70" s="9">
        <f>IF(OR(C70="SI",C70="SÍ",C70=TRUE),"APROBADA",IF(OR(B70="SI",B70="SÍ",B70=TRUE),"RINDE FINAL","ADEUDA"))</f>
        <v/>
      </c>
      <c r="G70" s="9">
        <f>IF(OR(C70="SI",C70="SÍ",C70=TRUE),"✅ Aprobada",IF(OR(B70="SI",B70="SÍ",B70=TRUE),"⏳ Cursada (Rinde Final)","⚪ Pendiente"))</f>
        <v/>
      </c>
    </row>
    <row r="71" ht="20" customHeight="1">
      <c r="A71" s="8" t="inlineStr">
        <is>
          <t>REDES Y COMUNICACIÓN DE DATOS</t>
        </is>
      </c>
      <c r="B71" s="9" t="inlineStr">
        <is>
          <t>NO</t>
        </is>
      </c>
      <c r="C71" s="9" t="inlineStr">
        <is>
          <t>NO</t>
        </is>
      </c>
      <c r="D71" s="10" t="inlineStr">
        <is>
          <t>General / Optativas</t>
        </is>
      </c>
      <c r="E71" s="9">
        <f>IF(OR(B71="SI",B71="SÍ",B71=TRUE),"REGULAR","PENDIENTE")</f>
        <v/>
      </c>
      <c r="F71" s="9">
        <f>IF(OR(C71="SI",C71="SÍ",C71=TRUE),"APROBADA",IF(OR(B71="SI",B71="SÍ",B71=TRUE),"RINDE FINAL","ADEUDA"))</f>
        <v/>
      </c>
      <c r="G71" s="9">
        <f>IF(OR(C71="SI",C71="SÍ",C71=TRUE),"✅ Aprobada",IF(OR(B71="SI",B71="SÍ",B71=TRUE),"⏳ Cursada (Rinde Final)","⚪ Pendiente"))</f>
        <v/>
      </c>
    </row>
    <row r="72" ht="20" customHeight="1">
      <c r="A72" s="11" t="inlineStr">
        <is>
          <t>SISTEMAS INFORMATICOS</t>
        </is>
      </c>
      <c r="B72" s="9" t="inlineStr">
        <is>
          <t>NO</t>
        </is>
      </c>
      <c r="C72" s="9" t="inlineStr">
        <is>
          <t>NO</t>
        </is>
      </c>
      <c r="D72" s="12" t="inlineStr">
        <is>
          <t>General / Optativas</t>
        </is>
      </c>
      <c r="E72" s="9">
        <f>IF(OR(B72="SI",B72="SÍ",B72=TRUE),"REGULAR","PENDIENTE")</f>
        <v/>
      </c>
      <c r="F72" s="9">
        <f>IF(OR(C72="SI",C72="SÍ",C72=TRUE),"APROBADA",IF(OR(B72="SI",B72="SÍ",B72=TRUE),"RINDE FINAL","ADEUDA"))</f>
        <v/>
      </c>
      <c r="G72" s="9">
        <f>IF(OR(C72="SI",C72="SÍ",C72=TRUE),"✅ Aprobada",IF(OR(B72="SI",B72="SÍ",B72=TRUE),"⏳ Cursada (Rinde Final)","⚪ Pendiente"))</f>
        <v/>
      </c>
    </row>
  </sheetData>
  <mergeCells count="17">
    <mergeCell ref="I14:J14"/>
    <mergeCell ref="I12:J12"/>
    <mergeCell ref="A1:G1"/>
    <mergeCell ref="I16:J16"/>
    <mergeCell ref="I15:J15"/>
    <mergeCell ref="A35:G35"/>
    <mergeCell ref="A4:G4"/>
    <mergeCell ref="I11:J11"/>
    <mergeCell ref="A2:G2"/>
    <mergeCell ref="A15:G15"/>
    <mergeCell ref="A52:G52"/>
    <mergeCell ref="A25:G25"/>
    <mergeCell ref="A57:G57"/>
    <mergeCell ref="I13:J13"/>
    <mergeCell ref="I17:J17"/>
    <mergeCell ref="A45:G45"/>
    <mergeCell ref="I3:J3"/>
  </mergeCells>
  <dataValidations count="1">
    <dataValidation sqref="B4:C72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