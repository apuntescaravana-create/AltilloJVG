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9"/>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INFORMÁTICA</t>
        </is>
      </c>
      <c r="I1" s="2" t="inlineStr">
        <is>
          <t>CONTROL DE TRAYECTORIA</t>
        </is>
      </c>
    </row>
    <row r="2" ht="22" customHeight="1">
      <c r="A2" s="3" t="inlineStr">
        <is>
          <t>La Caravana + Estudiantes Independientes | Altillo JVG - ISP Joaquín V. González</t>
        </is>
      </c>
      <c r="I2" s="4" t="inlineStr">
        <is>
          <t>Total de Materias del Plan</t>
        </is>
      </c>
      <c r="J2" s="5" t="n">
        <v>40</v>
      </c>
    </row>
    <row r="3" ht="22" customHeight="1">
      <c r="I3" s="4" t="inlineStr">
        <is>
          <t>Materias con Cursada Regular</t>
        </is>
      </c>
      <c r="J3" s="5">
        <f>COUNTIF(B6:B49,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COUNTIF(C6:C49, "SI")</f>
        <v/>
      </c>
    </row>
    <row r="5" ht="22" customHeight="1">
      <c r="A5" s="7" t="inlineStr">
        <is>
          <t>📌 1° AÑO</t>
        </is>
      </c>
      <c r="I5" s="4" t="inlineStr">
        <is>
          <t>Finales Adeudados</t>
        </is>
      </c>
      <c r="J5" s="5">
        <f>COUNTIF(F6:F49, "ADEUDA FINAL")</f>
        <v/>
      </c>
    </row>
    <row r="6" ht="22" customHeight="1">
      <c r="A6" s="8" t="inlineStr">
        <is>
          <t>Álgebra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COUNTIF(B6:B49, "SI")/40</f>
        <v/>
      </c>
    </row>
    <row r="7" ht="22" customHeight="1">
      <c r="A7" s="8" t="inlineStr">
        <is>
          <t>Herramientas informaticas</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COUNTIF(C6:C49, "SI")/40</f>
        <v/>
      </c>
    </row>
    <row r="8" ht="20" customHeight="1">
      <c r="A8" s="8" t="inlineStr">
        <is>
          <t>Trabajo de Campo I</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Programación 1</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Diseño 1</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Informatica</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Lectura, Escritura y Oralidad I (LEO 1)</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Psicología Educacional</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Sujetos de nivel</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Pedagogía</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2" customHeight="1">
      <c r="A16" s="7" t="inlineStr">
        <is>
          <t>📌 2° AÑO</t>
        </is>
      </c>
    </row>
    <row r="17" ht="20" customHeight="1">
      <c r="A17" s="8" t="inlineStr">
        <is>
          <t>Calculo para informatica</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Tecnologia de la información y la comunicación</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Trabajo de Campo II</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Sistemas informaticos</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Lectura, Escritura y Oralidad II (LEO 2)</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Diseño 2</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Programación 2</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Didáctica general</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Esi</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2" customHeight="1">
      <c r="A26" s="7" t="inlineStr">
        <is>
          <t>📌 3° AÑO</t>
        </is>
      </c>
    </row>
    <row r="27" ht="20" customHeight="1">
      <c r="A27" s="8" t="inlineStr">
        <is>
          <t>Informatica educativa</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Filosofía</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Ingles 1</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Redes y comunicaciones de datos</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Discursos digitales</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Logica informatica</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Programación 3</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DDHH, sociedad y estado</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2" customHeight="1">
      <c r="A35" s="7" t="inlineStr">
        <is>
          <t>📌 4° AÑO</t>
        </is>
      </c>
    </row>
    <row r="36" ht="20" customHeight="1">
      <c r="A36" s="8" t="inlineStr">
        <is>
          <t>Recursos informaticos aplicados a otras disciplinas</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Proyectos educativos</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Construcción de la practica docente 1</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Historia de la educación Argentina</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0" customHeight="1">
      <c r="A40" s="8" t="inlineStr">
        <is>
          <t>Nuevos escenarios, cultura tecnologica y subjetividad</t>
        </is>
      </c>
      <c r="B40" s="9" t="inlineStr">
        <is>
          <t>NO</t>
        </is>
      </c>
      <c r="C40" s="9" t="inlineStr">
        <is>
          <t>NO</t>
        </is>
      </c>
      <c r="D40" s="10" t="inlineStr">
        <is>
          <t>4° Año</t>
        </is>
      </c>
      <c r="E40" s="10">
        <f>IF(B40="SI", "REGULAR", "PENDIENTE")</f>
        <v/>
      </c>
      <c r="F40" s="10">
        <f>IF(C40="SI", "APROBADO", IF(B40="SI", "ADEUDA FINAL", "ADEUDA"))</f>
        <v/>
      </c>
      <c r="G40" s="11">
        <f>IF(C40="SI", "🟢 Aprobada", IF(B40="SI", "🟡 Regular", "🟣 Pendiente"))</f>
        <v/>
      </c>
    </row>
    <row r="41" ht="20" customHeight="1">
      <c r="A41" s="8" t="inlineStr">
        <is>
          <t>Ingles 2</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Informatica educativa 2</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Tecnicas digitales</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2" customHeight="1">
      <c r="A44" s="7" t="inlineStr">
        <is>
          <t>📌 5° AÑO</t>
        </is>
      </c>
    </row>
    <row r="45" ht="20" customHeight="1">
      <c r="A45" s="8" t="inlineStr">
        <is>
          <t>Diseño de sistemas</t>
        </is>
      </c>
      <c r="B45" s="9" t="inlineStr">
        <is>
          <t>NO</t>
        </is>
      </c>
      <c r="C45" s="9" t="inlineStr">
        <is>
          <t>NO</t>
        </is>
      </c>
      <c r="D45" s="10" t="inlineStr">
        <is>
          <t>5° Año</t>
        </is>
      </c>
      <c r="E45" s="10">
        <f>IF(B45="SI", "REGULAR", "PENDIENTE")</f>
        <v/>
      </c>
      <c r="F45" s="10">
        <f>IF(C45="SI", "APROBADO", IF(B45="SI", "ADEUDA FINAL", "ADEUDA"))</f>
        <v/>
      </c>
      <c r="G45" s="11">
        <f>IF(C45="SI", "🟢 Aprobada", IF(B45="SI", "🟡 Regular", "🟣 Pendiente"))</f>
        <v/>
      </c>
    </row>
    <row r="46" ht="20" customHeight="1">
      <c r="A46" s="8" t="inlineStr">
        <is>
          <t>Modelizacion matemática y simulación</t>
        </is>
      </c>
      <c r="B46" s="9" t="inlineStr">
        <is>
          <t>NO</t>
        </is>
      </c>
      <c r="C46" s="9" t="inlineStr">
        <is>
          <t>NO</t>
        </is>
      </c>
      <c r="D46" s="10" t="inlineStr">
        <is>
          <t>5° Año</t>
        </is>
      </c>
      <c r="E46" s="10">
        <f>IF(B46="SI", "REGULAR", "PENDIENTE")</f>
        <v/>
      </c>
      <c r="F46" s="10">
        <f>IF(C46="SI", "APROBADO", IF(B46="SI", "ADEUDA FINAL", "ADEUDA"))</f>
        <v/>
      </c>
      <c r="G46" s="11">
        <f>IF(C46="SI", "🟢 Aprobada", IF(B46="SI", "🟡 Regular", "🟣 Pendiente"))</f>
        <v/>
      </c>
    </row>
    <row r="47" ht="20" customHeight="1">
      <c r="A47" s="8" t="inlineStr">
        <is>
          <t>Inteligencia artifical</t>
        </is>
      </c>
      <c r="B47" s="9" t="inlineStr">
        <is>
          <t>NO</t>
        </is>
      </c>
      <c r="C47" s="9" t="inlineStr">
        <is>
          <t>NO</t>
        </is>
      </c>
      <c r="D47" s="10" t="inlineStr">
        <is>
          <t>5° Año</t>
        </is>
      </c>
      <c r="E47" s="10">
        <f>IF(B47="SI", "REGULAR", "PENDIENTE")</f>
        <v/>
      </c>
      <c r="F47" s="10">
        <f>IF(C47="SI", "APROBADO", IF(B47="SI", "ADEUDA FINAL", "ADEUDA"))</f>
        <v/>
      </c>
      <c r="G47" s="11">
        <f>IF(C47="SI", "🟢 Aprobada", IF(B47="SI", "🟡 Regular", "🟣 Pendiente"))</f>
        <v/>
      </c>
    </row>
    <row r="48" ht="20" customHeight="1">
      <c r="A48" s="8" t="inlineStr">
        <is>
          <t>Lengua extranjera</t>
        </is>
      </c>
      <c r="B48" s="9" t="inlineStr">
        <is>
          <t>NO</t>
        </is>
      </c>
      <c r="C48" s="9" t="inlineStr">
        <is>
          <t>NO</t>
        </is>
      </c>
      <c r="D48" s="10" t="inlineStr">
        <is>
          <t>5° Año</t>
        </is>
      </c>
      <c r="E48" s="10">
        <f>IF(B48="SI", "REGULAR", "PENDIENTE")</f>
        <v/>
      </c>
      <c r="F48" s="10">
        <f>IF(C48="SI", "APROBADO", IF(B48="SI", "ADEUDA FINAL", "ADEUDA"))</f>
        <v/>
      </c>
      <c r="G48" s="11">
        <f>IF(C48="SI", "🟢 Aprobada", IF(B48="SI", "🟡 Regular", "🟣 Pendiente"))</f>
        <v/>
      </c>
    </row>
    <row r="49" ht="20" customHeight="1">
      <c r="A49" s="8" t="inlineStr">
        <is>
          <t>Sistema y politica educativa</t>
        </is>
      </c>
      <c r="B49" s="9" t="inlineStr">
        <is>
          <t>NO</t>
        </is>
      </c>
      <c r="C49" s="9" t="inlineStr">
        <is>
          <t>NO</t>
        </is>
      </c>
      <c r="D49" s="10" t="inlineStr">
        <is>
          <t>5° Año</t>
        </is>
      </c>
      <c r="E49" s="10">
        <f>IF(B49="SI", "REGULAR", "PENDIENTE")</f>
        <v/>
      </c>
      <c r="F49" s="10">
        <f>IF(C49="SI", "APROBADO", IF(B49="SI", "ADEUDA FINAL", "ADEUDA"))</f>
        <v/>
      </c>
      <c r="G49" s="11">
        <f>IF(C49="SI", "🟢 Aprobada", IF(B49="SI", "🟡 Regular", "🟣 Pendiente"))</f>
        <v/>
      </c>
    </row>
  </sheetData>
  <mergeCells count="15">
    <mergeCell ref="A44:G44"/>
    <mergeCell ref="I12:J12"/>
    <mergeCell ref="A1:G1"/>
    <mergeCell ref="I15:J15"/>
    <mergeCell ref="I10:J10"/>
    <mergeCell ref="A35:G35"/>
    <mergeCell ref="I1:K1"/>
    <mergeCell ref="I11:J11"/>
    <mergeCell ref="A26:G26"/>
    <mergeCell ref="A16:G16"/>
    <mergeCell ref="A2:G2"/>
    <mergeCell ref="I13:J13"/>
    <mergeCell ref="I14:J14"/>
    <mergeCell ref="I9:J9"/>
    <mergeCell ref="A5:G5"/>
  </mergeCells>
  <dataValidations count="1">
    <dataValidation sqref="B6 B7 B8 B9 B10 B11 B12 B13 B14 B15 B17 B18 B19 B20 B21 B22 B23 B24 B25 B27 B28 B29 B30 B31 B32 B33 B34 B36 B37 B38 B39 B40 B41 B42 B43 B45 B46 B47 B48 B49 C6 C7 C8 C9 C10 C11 C12 C13 C14 C15 C17 C18 C19 C20 C21 C22 C23 C24 C25 C27 C28 C29 C30 C31 C32 C33 C34 C36 C37 C38 C39 C40 C41 C42 C43 C45 C46 C47 C48 C49"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2026-08-31T01:47:25Z</dcterms:created>
  <dcterms:modified xmlns:dcterms="http://purl.org/dc/terms/" xmlns:xsi="http://www.w3.org/2001/XMLSchema-instance" xsi:type="dcterms:W3CDTF">2026-08-31T01:47:25Z</dcterms:modified>
</cp:coreProperties>
</file>