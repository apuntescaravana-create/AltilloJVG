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INFORMÁTICA</t>
        </is>
      </c>
      <c r="I1" s="2" t="inlineStr">
        <is>
          <t>CONTROL DE TRAYECTORIA</t>
        </is>
      </c>
    </row>
    <row r="2" ht="22" customHeight="1">
      <c r="A2" s="3" t="inlineStr">
        <is>
          <t>La Caravana + Estudiantes Independientes | Altillo JVG - ISP Joaquín V. González</t>
        </is>
      </c>
      <c r="I2" s="4" t="inlineStr">
        <is>
          <t>Total de Materias del Plan</t>
        </is>
      </c>
      <c r="J2" s="5" t="n">
        <v>33</v>
      </c>
    </row>
    <row r="3" ht="22" customHeight="1">
      <c r="I3" s="4" t="inlineStr">
        <is>
          <t>Materias con Cursada Regular</t>
        </is>
      </c>
      <c r="J3" s="5">
        <f>COUNTIF(B6:B42,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COUNTIF(C6:C42, "SI")</f>
        <v/>
      </c>
    </row>
    <row r="5" ht="22" customHeight="1">
      <c r="A5" s="7" t="inlineStr">
        <is>
          <t>📌 1° AÑO</t>
        </is>
      </c>
      <c r="I5" s="4" t="inlineStr">
        <is>
          <t>Finales Adeudados</t>
        </is>
      </c>
      <c r="J5" s="5">
        <f>COUNTIF(F6:F42, "ADEUDA FINAL")</f>
        <v/>
      </c>
    </row>
    <row r="6" ht="22" customHeight="1">
      <c r="A6" s="8" t="inlineStr">
        <is>
          <t>Algoritmos y Estructuras de Datos I</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COUNTIF(B6:B42, "SI")/33</f>
        <v/>
      </c>
    </row>
    <row r="7" ht="22" customHeight="1">
      <c r="A7" s="8" t="inlineStr">
        <is>
          <t>Arquitectura y Organización de Computadoras</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COUNTIF(C6:C42, "SI")/33</f>
        <v/>
      </c>
    </row>
    <row r="8" ht="20" customHeight="1">
      <c r="A8" s="8" t="inlineStr">
        <is>
          <t>Fundamentos de Informática y Sistemas Digitales</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Matemática Discreta y Álgebra Lineal</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Pedagogía</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Lectura, Escritura y Oralidad I (LEO 1)</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Trabajo de Campo I</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7" t="inlineStr">
        <is>
          <t>📌 2° AÑO</t>
        </is>
      </c>
      <c r="I13" s="14" t="inlineStr">
        <is>
          <t>4. Las columnas E, F y G se actualizan automaticamente en tiempo real.</t>
        </is>
      </c>
    </row>
    <row r="14" ht="20" customHeight="1">
      <c r="A14" s="8" t="inlineStr">
        <is>
          <t>Algoritmos y Estructuras de Datos II</t>
        </is>
      </c>
      <c r="B14" s="9" t="inlineStr">
        <is>
          <t>NO</t>
        </is>
      </c>
      <c r="C14" s="9" t="inlineStr">
        <is>
          <t>NO</t>
        </is>
      </c>
      <c r="D14" s="10" t="inlineStr">
        <is>
          <t>2°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8" t="inlineStr">
        <is>
          <t>Sistemas Operativos y Redes de Comunicación</t>
        </is>
      </c>
      <c r="B15" s="9" t="inlineStr">
        <is>
          <t>NO</t>
        </is>
      </c>
      <c r="C15" s="9" t="inlineStr">
        <is>
          <t>NO</t>
        </is>
      </c>
      <c r="D15" s="10" t="inlineStr">
        <is>
          <t>2° Año</t>
        </is>
      </c>
      <c r="E15" s="10">
        <f>IF(B15="SI", "REGULAR", "PENDIENTE")</f>
        <v/>
      </c>
      <c r="F15" s="10">
        <f>IF(C15="SI", "APROBADO", IF(B15="SI", "ADEUDA FINAL", "ADEUDA"))</f>
        <v/>
      </c>
      <c r="G15" s="11">
        <f>IF(C15="SI", "🟢 Aprobada", IF(B15="SI", "🟡 Regular", "🟣 Pendiente"))</f>
        <v/>
      </c>
      <c r="I15" s="14" t="inlineStr">
        <is>
          <t>6. Podes subir el archivo a tu Google Drive personal para editarlo online.</t>
        </is>
      </c>
    </row>
    <row r="16" ht="20" customHeight="1">
      <c r="A16" s="8" t="inlineStr">
        <is>
          <t>Bases de Datos I</t>
        </is>
      </c>
      <c r="B16" s="9" t="inlineStr">
        <is>
          <t>NO</t>
        </is>
      </c>
      <c r="C16" s="9" t="inlineStr">
        <is>
          <t>NO</t>
        </is>
      </c>
      <c r="D16" s="10" t="inlineStr">
        <is>
          <t>2° Año</t>
        </is>
      </c>
      <c r="E16" s="10">
        <f>IF(B16="SI", "REGULAR", "PENDIENTE")</f>
        <v/>
      </c>
      <c r="F16" s="10">
        <f>IF(C16="SI", "APROBADO", IF(B16="SI", "ADEUDA FINAL", "ADEUDA"))</f>
        <v/>
      </c>
      <c r="G16" s="11">
        <f>IF(C16="SI", "🟢 Aprobada", IF(B16="SI", "🟡 Regular", "🟣 Pendiente"))</f>
        <v/>
      </c>
    </row>
    <row r="17" ht="20" customHeight="1">
      <c r="A17" s="8" t="inlineStr">
        <is>
          <t>Programación Orientada a Objetos</t>
        </is>
      </c>
      <c r="B17" s="9" t="inlineStr">
        <is>
          <t>NO</t>
        </is>
      </c>
      <c r="C17" s="9" t="inlineStr">
        <is>
          <t>NO</t>
        </is>
      </c>
      <c r="D17" s="10" t="inlineStr">
        <is>
          <t>2° Año</t>
        </is>
      </c>
      <c r="E17" s="10">
        <f>IF(B17="SI", "REGULAR", "PENDIENTE")</f>
        <v/>
      </c>
      <c r="F17" s="10">
        <f>IF(C17="SI", "APROBADO", IF(B17="SI", "ADEUDA FINAL", "ADEUDA"))</f>
        <v/>
      </c>
      <c r="G17" s="11">
        <f>IF(C17="SI", "🟢 Aprobada", IF(B17="SI", "🟡 Regular", "🟣 Pendiente"))</f>
        <v/>
      </c>
    </row>
    <row r="18" ht="20" customHeight="1">
      <c r="A18" s="8" t="inlineStr">
        <is>
          <t>Didáctica General</t>
        </is>
      </c>
      <c r="B18" s="9" t="inlineStr">
        <is>
          <t>NO</t>
        </is>
      </c>
      <c r="C18" s="9" t="inlineStr">
        <is>
          <t>NO</t>
        </is>
      </c>
      <c r="D18" s="10" t="inlineStr">
        <is>
          <t>2° Año</t>
        </is>
      </c>
      <c r="E18" s="10">
        <f>IF(B18="SI", "REGULAR", "PENDIENTE")</f>
        <v/>
      </c>
      <c r="F18" s="10">
        <f>IF(C18="SI", "APROBADO", IF(B18="SI", "ADEUDA FINAL", "ADEUDA"))</f>
        <v/>
      </c>
      <c r="G18" s="11">
        <f>IF(C18="SI", "🟢 Aprobada", IF(B18="SI", "🟡 Regular", "🟣 Pendiente"))</f>
        <v/>
      </c>
    </row>
    <row r="19" ht="20" customHeight="1">
      <c r="A19" s="8" t="inlineStr">
        <is>
          <t>Psicología Educacional</t>
        </is>
      </c>
      <c r="B19" s="9" t="inlineStr">
        <is>
          <t>NO</t>
        </is>
      </c>
      <c r="C19" s="9" t="inlineStr">
        <is>
          <t>NO</t>
        </is>
      </c>
      <c r="D19" s="10" t="inlineStr">
        <is>
          <t>2° Año</t>
        </is>
      </c>
      <c r="E19" s="10">
        <f>IF(B19="SI", "REGULAR", "PENDIENTE")</f>
        <v/>
      </c>
      <c r="F19" s="10">
        <f>IF(C19="SI", "APROBADO", IF(B19="SI", "ADEUDA FINAL", "ADEUDA"))</f>
        <v/>
      </c>
      <c r="G19" s="11">
        <f>IF(C19="SI", "🟢 Aprobada", IF(B19="SI", "🟡 Regular", "🟣 Pendiente"))</f>
        <v/>
      </c>
    </row>
    <row r="20" ht="20" customHeight="1">
      <c r="A20" s="8" t="inlineStr">
        <is>
          <t>Sujetos de la Educación</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0" customHeight="1">
      <c r="A21" s="8" t="inlineStr">
        <is>
          <t>Trabajo de Campo II</t>
        </is>
      </c>
      <c r="B21" s="9" t="inlineStr">
        <is>
          <t>NO</t>
        </is>
      </c>
      <c r="C21" s="9" t="inlineStr">
        <is>
          <t>NO</t>
        </is>
      </c>
      <c r="D21" s="10" t="inlineStr">
        <is>
          <t>2° Año</t>
        </is>
      </c>
      <c r="E21" s="10">
        <f>IF(B21="SI", "REGULAR", "PENDIENTE")</f>
        <v/>
      </c>
      <c r="F21" s="10">
        <f>IF(C21="SI", "APROBADO", IF(B21="SI", "ADEUDA FINAL", "ADEUDA"))</f>
        <v/>
      </c>
      <c r="G21" s="11">
        <f>IF(C21="SI", "🟢 Aprobada", IF(B21="SI", "🟡 Regular", "🟣 Pendiente"))</f>
        <v/>
      </c>
    </row>
    <row r="22" ht="22" customHeight="1">
      <c r="A22" s="7" t="inlineStr">
        <is>
          <t>📌 3° AÑO</t>
        </is>
      </c>
    </row>
    <row r="23" ht="20" customHeight="1">
      <c r="A23" s="8" t="inlineStr">
        <is>
          <t>Ingeniería de Software y Desarrollo Web</t>
        </is>
      </c>
      <c r="B23" s="9" t="inlineStr">
        <is>
          <t>NO</t>
        </is>
      </c>
      <c r="C23" s="9" t="inlineStr">
        <is>
          <t>NO</t>
        </is>
      </c>
      <c r="D23" s="10" t="inlineStr">
        <is>
          <t>3° Año</t>
        </is>
      </c>
      <c r="E23" s="10">
        <f>IF(B23="SI", "REGULAR", "PENDIENTE")</f>
        <v/>
      </c>
      <c r="F23" s="10">
        <f>IF(C23="SI", "APROBADO", IF(B23="SI", "ADEUDA FINAL", "ADEUDA"))</f>
        <v/>
      </c>
      <c r="G23" s="11">
        <f>IF(C23="SI", "🟢 Aprobada", IF(B23="SI", "🟡 Regular", "🟣 Pendiente"))</f>
        <v/>
      </c>
    </row>
    <row r="24" ht="20" customHeight="1">
      <c r="A24" s="8" t="inlineStr">
        <is>
          <t>Bases de Datos II y Administración de Servidores</t>
        </is>
      </c>
      <c r="B24" s="9" t="inlineStr">
        <is>
          <t>NO</t>
        </is>
      </c>
      <c r="C24" s="9" t="inlineStr">
        <is>
          <t>NO</t>
        </is>
      </c>
      <c r="D24" s="10" t="inlineStr">
        <is>
          <t>3° Año</t>
        </is>
      </c>
      <c r="E24" s="10">
        <f>IF(B24="SI", "REGULAR", "PENDIENTE")</f>
        <v/>
      </c>
      <c r="F24" s="10">
        <f>IF(C24="SI", "APROBADO", IF(B24="SI", "ADEUDA FINAL", "ADEUDA"))</f>
        <v/>
      </c>
      <c r="G24" s="11">
        <f>IF(C24="SI", "🟢 Aprobada", IF(B24="SI", "🟡 Regular", "🟣 Pendiente"))</f>
        <v/>
      </c>
    </row>
    <row r="25" ht="20" customHeight="1">
      <c r="A25" s="8" t="inlineStr">
        <is>
          <t>Informática Educativa I y Entornos Virtuales</t>
        </is>
      </c>
      <c r="B25" s="9" t="inlineStr">
        <is>
          <t>NO</t>
        </is>
      </c>
      <c r="C25" s="9" t="inlineStr">
        <is>
          <t>NO</t>
        </is>
      </c>
      <c r="D25" s="10" t="inlineStr">
        <is>
          <t>3° Año</t>
        </is>
      </c>
      <c r="E25" s="10">
        <f>IF(B25="SI", "REGULAR", "PENDIENTE")</f>
        <v/>
      </c>
      <c r="F25" s="10">
        <f>IF(C25="SI", "APROBADO", IF(B25="SI", "ADEUDA FINAL", "ADEUDA"))</f>
        <v/>
      </c>
      <c r="G25" s="11">
        <f>IF(C25="SI", "🟢 Aprobada", IF(B25="SI", "🟡 Regular", "🟣 Pendiente"))</f>
        <v/>
      </c>
    </row>
    <row r="26" ht="20" customHeight="1">
      <c r="A26" s="8" t="inlineStr">
        <is>
          <t>Didáctica de la Informática I</t>
        </is>
      </c>
      <c r="B26" s="9" t="inlineStr">
        <is>
          <t>NO</t>
        </is>
      </c>
      <c r="C26" s="9" t="inlineStr">
        <is>
          <t>NO</t>
        </is>
      </c>
      <c r="D26" s="10" t="inlineStr">
        <is>
          <t>3° Año</t>
        </is>
      </c>
      <c r="E26" s="10">
        <f>IF(B26="SI", "REGULAR", "PENDIENTE")</f>
        <v/>
      </c>
      <c r="F26" s="10">
        <f>IF(C26="SI", "APROBADO", IF(B26="SI", "ADEUDA FINAL", "ADEUDA"))</f>
        <v/>
      </c>
      <c r="G26" s="11">
        <f>IF(C26="SI", "🟢 Aprobada", IF(B26="SI", "🟡 Regular", "🟣 Pendiente"))</f>
        <v/>
      </c>
    </row>
    <row r="27" ht="20" customHeight="1">
      <c r="A27" s="8" t="inlineStr">
        <is>
          <t>Seguridad Informática y Ética Digital</t>
        </is>
      </c>
      <c r="B27" s="9" t="inlineStr">
        <is>
          <t>NO</t>
        </is>
      </c>
      <c r="C27" s="9" t="inlineStr">
        <is>
          <t>NO</t>
        </is>
      </c>
      <c r="D27" s="10" t="inlineStr">
        <is>
          <t>3° Año</t>
        </is>
      </c>
      <c r="E27" s="10">
        <f>IF(B27="SI", "REGULAR", "PENDIENTE")</f>
        <v/>
      </c>
      <c r="F27" s="10">
        <f>IF(C27="SI", "APROBADO", IF(B27="SI", "ADEUDA FINAL", "ADEUDA"))</f>
        <v/>
      </c>
      <c r="G27" s="11">
        <f>IF(C27="SI", "🟢 Aprobada", IF(B27="SI", "🟡 Regular", "🟣 Pendiente"))</f>
        <v/>
      </c>
    </row>
    <row r="28" ht="20" customHeight="1">
      <c r="A28" s="8" t="inlineStr">
        <is>
          <t>Historia Social de la Educación</t>
        </is>
      </c>
      <c r="B28" s="9" t="inlineStr">
        <is>
          <t>NO</t>
        </is>
      </c>
      <c r="C28" s="9" t="inlineStr">
        <is>
          <t>NO</t>
        </is>
      </c>
      <c r="D28" s="10" t="inlineStr">
        <is>
          <t>3° Año</t>
        </is>
      </c>
      <c r="E28" s="10">
        <f>IF(B28="SI", "REGULAR", "PENDIENTE")</f>
        <v/>
      </c>
      <c r="F28" s="10">
        <f>IF(C28="SI", "APROBADO", IF(B28="SI", "ADEUDA FINAL", "ADEUDA"))</f>
        <v/>
      </c>
      <c r="G28" s="11">
        <f>IF(C28="SI", "🟢 Aprobada", IF(B28="SI", "🟡 Regular", "🟣 Pendiente"))</f>
        <v/>
      </c>
    </row>
    <row r="29" ht="20" customHeight="1">
      <c r="A29" s="8" t="inlineStr">
        <is>
          <t>Derechos Humanos, Sociedad y Estado</t>
        </is>
      </c>
      <c r="B29" s="9" t="inlineStr">
        <is>
          <t>NO</t>
        </is>
      </c>
      <c r="C29" s="9" t="inlineStr">
        <is>
          <t>NO</t>
        </is>
      </c>
      <c r="D29" s="10" t="inlineStr">
        <is>
          <t>3° Año</t>
        </is>
      </c>
      <c r="E29" s="10">
        <f>IF(B29="SI", "REGULAR", "PENDIENTE")</f>
        <v/>
      </c>
      <c r="F29" s="10">
        <f>IF(C29="SI", "APROBADO", IF(B29="SI", "ADEUDA FINAL", "ADEUDA"))</f>
        <v/>
      </c>
      <c r="G29" s="11">
        <f>IF(C29="SI", "🟢 Aprobada", IF(B29="SI", "🟡 Regular", "🟣 Pendiente"))</f>
        <v/>
      </c>
    </row>
    <row r="30" ht="20" customHeight="1">
      <c r="A30" s="8" t="inlineStr">
        <is>
          <t>Construcción de la Práctica Docente I</t>
        </is>
      </c>
      <c r="B30" s="9" t="inlineStr">
        <is>
          <t>NO</t>
        </is>
      </c>
      <c r="C30" s="9" t="inlineStr">
        <is>
          <t>NO</t>
        </is>
      </c>
      <c r="D30" s="10" t="inlineStr">
        <is>
          <t>3° Año</t>
        </is>
      </c>
      <c r="E30" s="10">
        <f>IF(B30="SI", "REGULAR", "PENDIENTE")</f>
        <v/>
      </c>
      <c r="F30" s="10">
        <f>IF(C30="SI", "APROBADO", IF(B30="SI", "ADEUDA FINAL", "ADEUDA"))</f>
        <v/>
      </c>
      <c r="G30" s="11">
        <f>IF(C30="SI", "🟢 Aprobada", IF(B30="SI", "🟡 Regular", "🟣 Pendiente"))</f>
        <v/>
      </c>
    </row>
    <row r="31" ht="22" customHeight="1">
      <c r="A31" s="7" t="inlineStr">
        <is>
          <t>📌 4° AÑO</t>
        </is>
      </c>
    </row>
    <row r="32" ht="20" customHeight="1">
      <c r="A32" s="8" t="inlineStr">
        <is>
          <t>Tecnologías Emergentes, IA y Ciencia de Datos</t>
        </is>
      </c>
      <c r="B32" s="9" t="inlineStr">
        <is>
          <t>NO</t>
        </is>
      </c>
      <c r="C32" s="9" t="inlineStr">
        <is>
          <t>NO</t>
        </is>
      </c>
      <c r="D32" s="10" t="inlineStr">
        <is>
          <t>4° Año</t>
        </is>
      </c>
      <c r="E32" s="10">
        <f>IF(B32="SI", "REGULAR", "PENDIENTE")</f>
        <v/>
      </c>
      <c r="F32" s="10">
        <f>IF(C32="SI", "APROBADO", IF(B32="SI", "ADEUDA FINAL", "ADEUDA"))</f>
        <v/>
      </c>
      <c r="G32" s="11">
        <f>IF(C32="SI", "🟢 Aprobada", IF(B32="SI", "🟡 Regular", "🟣 Pendiente"))</f>
        <v/>
      </c>
    </row>
    <row r="33" ht="20" customHeight="1">
      <c r="A33" s="8" t="inlineStr">
        <is>
          <t>Informática Educativa II y Robótica Pedagógica</t>
        </is>
      </c>
      <c r="B33" s="9" t="inlineStr">
        <is>
          <t>NO</t>
        </is>
      </c>
      <c r="C33" s="9" t="inlineStr">
        <is>
          <t>NO</t>
        </is>
      </c>
      <c r="D33" s="10" t="inlineStr">
        <is>
          <t>4° Año</t>
        </is>
      </c>
      <c r="E33" s="10">
        <f>IF(B33="SI", "REGULAR", "PENDIENTE")</f>
        <v/>
      </c>
      <c r="F33" s="10">
        <f>IF(C33="SI", "APROBADO", IF(B33="SI", "ADEUDA FINAL", "ADEUDA"))</f>
        <v/>
      </c>
      <c r="G33" s="11">
        <f>IF(C33="SI", "🟢 Aprobada", IF(B33="SI", "🟡 Regular", "🟣 Pendiente"))</f>
        <v/>
      </c>
    </row>
    <row r="34" ht="20" customHeight="1">
      <c r="A34" s="8" t="inlineStr">
        <is>
          <t>Discursos y Culturas Digitales</t>
        </is>
      </c>
      <c r="B34" s="9" t="inlineStr">
        <is>
          <t>NO</t>
        </is>
      </c>
      <c r="C34" s="9" t="inlineStr">
        <is>
          <t>NO</t>
        </is>
      </c>
      <c r="D34" s="10" t="inlineStr">
        <is>
          <t>4° Año</t>
        </is>
      </c>
      <c r="E34" s="10">
        <f>IF(B34="SI", "REGULAR", "PENDIENTE")</f>
        <v/>
      </c>
      <c r="F34" s="10">
        <f>IF(C34="SI", "APROBADO", IF(B34="SI", "ADEUDA FINAL", "ADEUDA"))</f>
        <v/>
      </c>
      <c r="G34" s="11">
        <f>IF(C34="SI", "🟢 Aprobada", IF(B34="SI", "🟡 Regular", "🟣 Pendiente"))</f>
        <v/>
      </c>
    </row>
    <row r="35" ht="20" customHeight="1">
      <c r="A35" s="8" t="inlineStr">
        <is>
          <t>Didáctica de la Informática II</t>
        </is>
      </c>
      <c r="B35" s="9" t="inlineStr">
        <is>
          <t>NO</t>
        </is>
      </c>
      <c r="C35" s="9" t="inlineStr">
        <is>
          <t>NO</t>
        </is>
      </c>
      <c r="D35" s="10" t="inlineStr">
        <is>
          <t>4° Año</t>
        </is>
      </c>
      <c r="E35" s="10">
        <f>IF(B35="SI", "REGULAR", "PENDIENTE")</f>
        <v/>
      </c>
      <c r="F35" s="10">
        <f>IF(C35="SI", "APROBADO", IF(B35="SI", "ADEUDA FINAL", "ADEUDA"))</f>
        <v/>
      </c>
      <c r="G35" s="11">
        <f>IF(C35="SI", "🟢 Aprobada", IF(B35="SI", "🟡 Regular", "🟣 Pendiente"))</f>
        <v/>
      </c>
    </row>
    <row r="36" ht="20" customHeight="1">
      <c r="A36" s="8" t="inlineStr">
        <is>
          <t>Educación Sexual Integral (ESI)</t>
        </is>
      </c>
      <c r="B36" s="9" t="inlineStr">
        <is>
          <t>NO</t>
        </is>
      </c>
      <c r="C36" s="9" t="inlineStr">
        <is>
          <t>NO</t>
        </is>
      </c>
      <c r="D36" s="10" t="inlineStr">
        <is>
          <t>4° Año</t>
        </is>
      </c>
      <c r="E36" s="10">
        <f>IF(B36="SI", "REGULAR", "PENDIENTE")</f>
        <v/>
      </c>
      <c r="F36" s="10">
        <f>IF(C36="SI", "APROBADO", IF(B36="SI", "ADEUDA FINAL", "ADEUDA"))</f>
        <v/>
      </c>
      <c r="G36" s="11">
        <f>IF(C36="SI", "🟢 Aprobada", IF(B36="SI", "🟡 Regular", "🟣 Pendiente"))</f>
        <v/>
      </c>
    </row>
    <row r="37" ht="20" customHeight="1">
      <c r="A37" s="8" t="inlineStr">
        <is>
          <t>Ética y Trabajo Docente</t>
        </is>
      </c>
      <c r="B37" s="9" t="inlineStr">
        <is>
          <t>NO</t>
        </is>
      </c>
      <c r="C37" s="9" t="inlineStr">
        <is>
          <t>NO</t>
        </is>
      </c>
      <c r="D37" s="10" t="inlineStr">
        <is>
          <t>4° Año</t>
        </is>
      </c>
      <c r="E37" s="10">
        <f>IF(B37="SI", "REGULAR", "PENDIENTE")</f>
        <v/>
      </c>
      <c r="F37" s="10">
        <f>IF(C37="SI", "APROBADO", IF(B37="SI", "ADEUDA FINAL", "ADEUDA"))</f>
        <v/>
      </c>
      <c r="G37" s="11">
        <f>IF(C37="SI", "🟢 Aprobada", IF(B37="SI", "🟡 Regular", "🟣 Pendiente"))</f>
        <v/>
      </c>
    </row>
    <row r="38" ht="20" customHeight="1">
      <c r="A38" s="8" t="inlineStr">
        <is>
          <t>Residencia y Construcción de la Práctica Docente II</t>
        </is>
      </c>
      <c r="B38" s="9" t="inlineStr">
        <is>
          <t>NO</t>
        </is>
      </c>
      <c r="C38" s="9" t="inlineStr">
        <is>
          <t>NO</t>
        </is>
      </c>
      <c r="D38" s="10" t="inlineStr">
        <is>
          <t>4° Año</t>
        </is>
      </c>
      <c r="E38" s="10">
        <f>IF(B38="SI", "REGULAR", "PENDIENTE")</f>
        <v/>
      </c>
      <c r="F38" s="10">
        <f>IF(C38="SI", "APROBADO", IF(B38="SI", "ADEUDA FINAL", "ADEUDA"))</f>
        <v/>
      </c>
      <c r="G38" s="11">
        <f>IF(C38="SI", "🟢 Aprobada", IF(B38="SI", "🟡 Regular", "🟣 Pendiente"))</f>
        <v/>
      </c>
    </row>
    <row r="39" ht="22" customHeight="1">
      <c r="A39" s="7" t="inlineStr">
        <is>
          <t>📌 TRAMO SUPERIOR / SEMINARIOS</t>
        </is>
      </c>
    </row>
    <row r="40" ht="20" customHeight="1">
      <c r="A40" s="8" t="inlineStr">
        <is>
          <t>Seminario de Redes Avanzadas y Cloud Computing</t>
        </is>
      </c>
      <c r="B40" s="9" t="inlineStr">
        <is>
          <t>NO</t>
        </is>
      </c>
      <c r="C40" s="9" t="inlineStr">
        <is>
          <t>NO</t>
        </is>
      </c>
      <c r="D40" s="10" t="inlineStr">
        <is>
          <t>Tramo Superior / Seminarios</t>
        </is>
      </c>
      <c r="E40" s="10">
        <f>IF(B40="SI", "REGULAR", "PENDIENTE")</f>
        <v/>
      </c>
      <c r="F40" s="10">
        <f>IF(C40="SI", "APROBADO", IF(B40="SI", "ADEUDA FINAL", "ADEUDA"))</f>
        <v/>
      </c>
      <c r="G40" s="11">
        <f>IF(C40="SI", "🟢 Aprobada", IF(B40="SI", "🟡 Regular", "🟣 Pendiente"))</f>
        <v/>
      </c>
    </row>
    <row r="41" ht="20" customHeight="1">
      <c r="A41" s="8" t="inlineStr">
        <is>
          <t>Seminario de Accesibilidad y Tecnologías Inclusivas</t>
        </is>
      </c>
      <c r="B41" s="9" t="inlineStr">
        <is>
          <t>NO</t>
        </is>
      </c>
      <c r="C41" s="9" t="inlineStr">
        <is>
          <t>NO</t>
        </is>
      </c>
      <c r="D41" s="10" t="inlineStr">
        <is>
          <t>Tramo Superior / Seminarios</t>
        </is>
      </c>
      <c r="E41" s="10">
        <f>IF(B41="SI", "REGULAR", "PENDIENTE")</f>
        <v/>
      </c>
      <c r="F41" s="10">
        <f>IF(C41="SI", "APROBADO", IF(B41="SI", "ADEUDA FINAL", "ADEUDA"))</f>
        <v/>
      </c>
      <c r="G41" s="11">
        <f>IF(C41="SI", "🟢 Aprobada", IF(B41="SI", "🟡 Regular", "🟣 Pendiente"))</f>
        <v/>
      </c>
    </row>
    <row r="42" ht="20" customHeight="1">
      <c r="A42" s="8" t="inlineStr">
        <is>
          <t>Taller de Proyecto Final de Informática</t>
        </is>
      </c>
      <c r="B42" s="9" t="inlineStr">
        <is>
          <t>NO</t>
        </is>
      </c>
      <c r="C42" s="9" t="inlineStr">
        <is>
          <t>NO</t>
        </is>
      </c>
      <c r="D42" s="10" t="inlineStr">
        <is>
          <t>Tramo Superior / Seminarios</t>
        </is>
      </c>
      <c r="E42" s="10">
        <f>IF(B42="SI", "REGULAR", "PENDIENTE")</f>
        <v/>
      </c>
      <c r="F42" s="10">
        <f>IF(C42="SI", "APROBADO", IF(B42="SI", "ADEUDA FINAL", "ADEUDA"))</f>
        <v/>
      </c>
      <c r="G42" s="11">
        <f>IF(C42="SI", "🟢 Aprobada", IF(B42="SI", "🟡 Regular", "🟣 Pendiente"))</f>
        <v/>
      </c>
    </row>
  </sheetData>
  <mergeCells count="15">
    <mergeCell ref="A13:G13"/>
    <mergeCell ref="I12:J12"/>
    <mergeCell ref="A1:G1"/>
    <mergeCell ref="A31:G31"/>
    <mergeCell ref="I15:J15"/>
    <mergeCell ref="I10:J10"/>
    <mergeCell ref="A22:G22"/>
    <mergeCell ref="A39:G39"/>
    <mergeCell ref="I1:K1"/>
    <mergeCell ref="I11:J11"/>
    <mergeCell ref="A2:G2"/>
    <mergeCell ref="I13:J13"/>
    <mergeCell ref="I14:J14"/>
    <mergeCell ref="I9:J9"/>
    <mergeCell ref="A5:G5"/>
  </mergeCells>
  <dataValidations count="1">
    <dataValidation sqref="B6 B7 B8 B9 B10 B11 B12 B14 B15 B16 B17 B18 B19 B20 B21 B23 B24 B25 B26 B27 B28 B29 B30 B32 B33 B34 B35 B36 B37 B38 B40 B41 B42 C6 C7 C8 C9 C10 C11 C12 C14 C15 C16 C17 C18 C19 C20 C21 C23 C24 C25 C26 C27 C28 C29 C30 C32 C33 C34 C35 C36 C37 C38 C40 C41 C42"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2026-08-31T01:11:53Z</dcterms:created>
  <dcterms:modified xmlns:dcterms="http://purl.org/dc/terms/" xmlns:xsi="http://www.w3.org/2001/XMLSchema-instance" xsi:type="dcterms:W3CDTF">2026-08-31T01:11:53Z</dcterms:modified>
</cp:coreProperties>
</file>