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3"/>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FÍSICA</t>
        </is>
      </c>
      <c r="I1" s="2" t="inlineStr">
        <is>
          <t>CONTROL DE TRAYECTORIA</t>
        </is>
      </c>
    </row>
    <row r="2" ht="22" customHeight="1">
      <c r="A2" s="3" t="inlineStr">
        <is>
          <t>La Caravana + Estudiantes Independientes | Altillo JVG - ISP Joaquín V. González</t>
        </is>
      </c>
      <c r="I2" s="4" t="inlineStr">
        <is>
          <t>Total de Materias del Plan</t>
        </is>
      </c>
      <c r="J2" s="5" t="n">
        <v>43</v>
      </c>
    </row>
    <row r="3" ht="22" customHeight="1">
      <c r="I3" s="4" t="inlineStr">
        <is>
          <t>Materias con Cursada Regular</t>
        </is>
      </c>
      <c r="J3" s="5">
        <f>COUNTIF(B6:B53,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COUNTIF(C6:C53, "SI")</f>
        <v/>
      </c>
    </row>
    <row r="5" ht="22" customHeight="1">
      <c r="A5" s="7" t="inlineStr">
        <is>
          <t>📌 1° AÑO</t>
        </is>
      </c>
      <c r="I5" s="4" t="inlineStr">
        <is>
          <t>Finales Adeudados</t>
        </is>
      </c>
      <c r="J5" s="5">
        <f>COUNTIF(F6:F53, "ADEUDA FINAL")</f>
        <v/>
      </c>
    </row>
    <row r="6" ht="22" customHeight="1">
      <c r="A6" s="8" t="inlineStr">
        <is>
          <t>Álgebra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COUNTIF(B6:B53, "SI")/43</f>
        <v/>
      </c>
    </row>
    <row r="7" ht="22" customHeight="1">
      <c r="A7" s="8" t="inlineStr">
        <is>
          <t>Análisis MATEMATICO I</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COUNTIF(C6:C53, "SI")/43</f>
        <v/>
      </c>
    </row>
    <row r="8" ht="20" customHeight="1">
      <c r="A8" s="8" t="inlineStr">
        <is>
          <t>Física I</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Geometria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Lectura, Escritura y Oralidad I (LEO 1)</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NUEVAS TECNOLOGIAS (Cuatrimestral)</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Pedagogía</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Seminario Experimental I</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Trabajo de Campo I</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7" t="inlineStr">
        <is>
          <t>📌 2° AÑO</t>
        </is>
      </c>
      <c r="I15" s="14" t="inlineStr">
        <is>
          <t>6. Podes subir el archivo a tu Google Drive personal para editarlo online.</t>
        </is>
      </c>
    </row>
    <row r="16" ht="20" customHeight="1">
      <c r="A16" s="8" t="inlineStr">
        <is>
          <t>Álgebra II</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Análisis MATEMATICO II</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Didáctica GENERAL</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Física II</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Psicología EDUCACIONAL</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Química</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Seminario Experimental II</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Sujetos del Nivel</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Trabajo de Campo II</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2" customHeight="1">
      <c r="A25" s="7" t="inlineStr">
        <is>
          <t>📌 3° AÑO</t>
        </is>
      </c>
    </row>
    <row r="26" ht="20" customHeight="1">
      <c r="A26" s="8" t="inlineStr">
        <is>
          <t>ASTRONOMIA (1ª CUATRIMESTRE )</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Derechos Humanos, Sociedad y Estado</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Didáctica DE LA Física I</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Educación Sexual Integral</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Filosofía</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Física III</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Matemática SUPERIOR A</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SEMINARIO DE Física</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Trabajo de Campo III</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2" customHeight="1">
      <c r="A35" s="7" t="inlineStr">
        <is>
          <t>📌 4° AÑO</t>
        </is>
      </c>
    </row>
    <row r="36" ht="20" customHeight="1">
      <c r="A36" s="8" t="inlineStr">
        <is>
          <t>Didáctica Específica II P/nivel Secundario</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EPISTEMOLOGIA E HISTORIA DE LA Física</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Física EXPERIMENTAL</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Física IV</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Física TEORICA I (1° CUATR.)</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0" customHeight="1">
      <c r="A41" s="8" t="inlineStr">
        <is>
          <t>HISTORIA DE LA Educación ARGENTINA</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Lengua Extranjera (cuatrimestral)</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RESIDENCIA PEDAGÓGICA PARA en Nivel Medio</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2" customHeight="1">
      <c r="A44" s="7" t="inlineStr">
        <is>
          <t>📌 5° AÑO (NIVEL SUPERIOR / TRAMO SUPERIOR)</t>
        </is>
      </c>
    </row>
    <row r="45" ht="20" customHeight="1">
      <c r="A45" s="8" t="inlineStr">
        <is>
          <t>Didáctica DE LA FÍSICA PARA EL NIVEL SUP</t>
        </is>
      </c>
      <c r="B45" s="9" t="inlineStr">
        <is>
          <t>NO</t>
        </is>
      </c>
      <c r="C45" s="9" t="inlineStr">
        <is>
          <t>NO</t>
        </is>
      </c>
      <c r="D45" s="10" t="inlineStr">
        <is>
          <t>5° Año (Nivel Superior / Tramo Superior)</t>
        </is>
      </c>
      <c r="E45" s="10">
        <f>IF(B45="SI", "REGULAR", "PENDIENTE")</f>
        <v/>
      </c>
      <c r="F45" s="10">
        <f>IF(C45="SI", "APROBADO", IF(B45="SI", "ADEUDA FINAL", "ADEUDA"))</f>
        <v/>
      </c>
      <c r="G45" s="11">
        <f>IF(C45="SI", "🟢 Aprobada", IF(B45="SI", "🟡 Regular", "🟣 Pendiente"))</f>
        <v/>
      </c>
    </row>
    <row r="46" ht="20" customHeight="1">
      <c r="A46" s="8" t="inlineStr">
        <is>
          <t>Física TEORICA II</t>
        </is>
      </c>
      <c r="B46" s="9" t="inlineStr">
        <is>
          <t>NO</t>
        </is>
      </c>
      <c r="C46" s="9" t="inlineStr">
        <is>
          <t>NO</t>
        </is>
      </c>
      <c r="D46" s="10" t="inlineStr">
        <is>
          <t>5° Año (Nivel Superior / Tramo Superior)</t>
        </is>
      </c>
      <c r="E46" s="10">
        <f>IF(B46="SI", "REGULAR", "PENDIENTE")</f>
        <v/>
      </c>
      <c r="F46" s="10">
        <f>IF(C46="SI", "APROBADO", IF(B46="SI", "ADEUDA FINAL", "ADEUDA"))</f>
        <v/>
      </c>
      <c r="G46" s="11">
        <f>IF(C46="SI", "🟢 Aprobada", IF(B46="SI", "🟡 Regular", "🟣 Pendiente"))</f>
        <v/>
      </c>
    </row>
    <row r="47" ht="20" customHeight="1">
      <c r="A47" s="8" t="inlineStr">
        <is>
          <t>Mecanica Cuantica</t>
        </is>
      </c>
      <c r="B47" s="9" t="inlineStr">
        <is>
          <t>NO</t>
        </is>
      </c>
      <c r="C47" s="9" t="inlineStr">
        <is>
          <t>NO</t>
        </is>
      </c>
      <c r="D47" s="10" t="inlineStr">
        <is>
          <t>5° Año (Nivel Superior / Tramo Superior)</t>
        </is>
      </c>
      <c r="E47" s="10">
        <f>IF(B47="SI", "REGULAR", "PENDIENTE")</f>
        <v/>
      </c>
      <c r="F47" s="10">
        <f>IF(C47="SI", "APROBADO", IF(B47="SI", "ADEUDA FINAL", "ADEUDA"))</f>
        <v/>
      </c>
      <c r="G47" s="11">
        <f>IF(C47="SI", "🟢 Aprobada", IF(B47="SI", "🟡 Regular", "🟣 Pendiente"))</f>
        <v/>
      </c>
    </row>
    <row r="48" ht="20" customHeight="1">
      <c r="A48" s="8" t="inlineStr">
        <is>
          <t>Residencia Pedagogica en el Nivel Sup</t>
        </is>
      </c>
      <c r="B48" s="9" t="inlineStr">
        <is>
          <t>NO</t>
        </is>
      </c>
      <c r="C48" s="9" t="inlineStr">
        <is>
          <t>NO</t>
        </is>
      </c>
      <c r="D48" s="10" t="inlineStr">
        <is>
          <t>5° Año (Nivel Superior / Tramo Superior)</t>
        </is>
      </c>
      <c r="E48" s="10">
        <f>IF(B48="SI", "REGULAR", "PENDIENTE")</f>
        <v/>
      </c>
      <c r="F48" s="10">
        <f>IF(C48="SI", "APROBADO", IF(B48="SI", "ADEUDA FINAL", "ADEUDA"))</f>
        <v/>
      </c>
      <c r="G48" s="11">
        <f>IF(C48="SI", "🟢 Aprobada", IF(B48="SI", "🟡 Regular", "🟣 Pendiente"))</f>
        <v/>
      </c>
    </row>
    <row r="49" ht="22" customHeight="1">
      <c r="A49" s="7" t="inlineStr">
        <is>
          <t>📌 6° AÑO (NIVEL SUPERIOR / TRAMO SUPERIOR)</t>
        </is>
      </c>
    </row>
    <row r="50" ht="20" customHeight="1">
      <c r="A50" s="8" t="inlineStr">
        <is>
          <t>Seminario de Especialización Superior II</t>
        </is>
      </c>
      <c r="B50" s="9" t="inlineStr">
        <is>
          <t>NO</t>
        </is>
      </c>
      <c r="C50" s="9" t="inlineStr">
        <is>
          <t>NO</t>
        </is>
      </c>
      <c r="D50" s="10" t="inlineStr">
        <is>
          <t>6° Año (Nivel Superior / Tramo Superior)</t>
        </is>
      </c>
      <c r="E50" s="10">
        <f>IF(B50="SI", "REGULAR", "PENDIENTE")</f>
        <v/>
      </c>
      <c r="F50" s="10">
        <f>IF(C50="SI", "APROBADO", IF(B50="SI", "ADEUDA FINAL", "ADEUDA"))</f>
        <v/>
      </c>
      <c r="G50" s="11">
        <f>IF(C50="SI", "🟢 Aprobada", IF(B50="SI", "🟡 Regular", "🟣 Pendiente"))</f>
        <v/>
      </c>
    </row>
    <row r="51" ht="20" customHeight="1">
      <c r="A51" s="8" t="inlineStr">
        <is>
          <t>Tesis / Trabajo Final de Licenciatura</t>
        </is>
      </c>
      <c r="B51" s="9" t="inlineStr">
        <is>
          <t>NO</t>
        </is>
      </c>
      <c r="C51" s="9" t="inlineStr">
        <is>
          <t>NO</t>
        </is>
      </c>
      <c r="D51" s="10" t="inlineStr">
        <is>
          <t>6° Año (Nivel Superior / Tramo Superior)</t>
        </is>
      </c>
      <c r="E51" s="10">
        <f>IF(B51="SI", "REGULAR", "PENDIENTE")</f>
        <v/>
      </c>
      <c r="F51" s="10">
        <f>IF(C51="SI", "APROBADO", IF(B51="SI", "ADEUDA FINAL", "ADEUDA"))</f>
        <v/>
      </c>
      <c r="G51" s="11">
        <f>IF(C51="SI", "🟢 Aprobada", IF(B51="SI", "🟡 Regular", "🟣 Pendiente"))</f>
        <v/>
      </c>
    </row>
    <row r="52" ht="20" customHeight="1">
      <c r="A52" s="8" t="inlineStr">
        <is>
          <t>Práctica de Nivel Superior II</t>
        </is>
      </c>
      <c r="B52" s="9" t="inlineStr">
        <is>
          <t>NO</t>
        </is>
      </c>
      <c r="C52" s="9" t="inlineStr">
        <is>
          <t>NO</t>
        </is>
      </c>
      <c r="D52" s="10" t="inlineStr">
        <is>
          <t>6° Año (Nivel Superior / Tramo Superior)</t>
        </is>
      </c>
      <c r="E52" s="10">
        <f>IF(B52="SI", "REGULAR", "PENDIENTE")</f>
        <v/>
      </c>
      <c r="F52" s="10">
        <f>IF(C52="SI", "APROBADO", IF(B52="SI", "ADEUDA FINAL", "ADEUDA"))</f>
        <v/>
      </c>
      <c r="G52" s="11">
        <f>IF(C52="SI", "🟢 Aprobada", IF(B52="SI", "🟡 Regular", "🟣 Pendiente"))</f>
        <v/>
      </c>
    </row>
    <row r="53" ht="20" customHeight="1">
      <c r="A53" s="8" t="inlineStr">
        <is>
          <t>Acreditación de Residencia Superior</t>
        </is>
      </c>
      <c r="B53" s="9" t="inlineStr">
        <is>
          <t>NO</t>
        </is>
      </c>
      <c r="C53" s="9" t="inlineStr">
        <is>
          <t>NO</t>
        </is>
      </c>
      <c r="D53" s="10" t="inlineStr">
        <is>
          <t>6° Año (Nivel Superior / Tramo Superior)</t>
        </is>
      </c>
      <c r="E53" s="10">
        <f>IF(B53="SI", "REGULAR", "PENDIENTE")</f>
        <v/>
      </c>
      <c r="F53" s="10">
        <f>IF(C53="SI", "APROBADO", IF(B53="SI", "ADEUDA FINAL", "ADEUDA"))</f>
        <v/>
      </c>
      <c r="G53" s="11">
        <f>IF(C53="SI", "🟢 Aprobada", IF(B53="SI", "🟡 Regular", "🟣 Pendiente"))</f>
        <v/>
      </c>
    </row>
  </sheetData>
  <mergeCells count="16">
    <mergeCell ref="I14:J14"/>
    <mergeCell ref="A44:G44"/>
    <mergeCell ref="I12:J12"/>
    <mergeCell ref="A1:G1"/>
    <mergeCell ref="I15:J15"/>
    <mergeCell ref="I10:J10"/>
    <mergeCell ref="A35:G35"/>
    <mergeCell ref="I1:K1"/>
    <mergeCell ref="I11:J11"/>
    <mergeCell ref="A2:G2"/>
    <mergeCell ref="A15:G15"/>
    <mergeCell ref="I13:J13"/>
    <mergeCell ref="A25:G25"/>
    <mergeCell ref="A49:G49"/>
    <mergeCell ref="I9:J9"/>
    <mergeCell ref="A5:G5"/>
  </mergeCells>
  <dataValidations count="1">
    <dataValidation sqref="B6 B7 B8 B9 B10 B11 B12 B13 B14 B16 B17 B18 B19 B20 B21 B22 B23 B24 B26 B27 B28 B29 B30 B31 B32 B33 B34 B36 B37 B38 B39 B40 B41 B42 B43 B45 B46 B47 B48 B50 B51 B52 B53 C6 C7 C8 C9 C10 C11 C12 C13 C14 C16 C17 C18 C19 C20 C21 C22 C23 C24 C26 C27 C28 C29 C30 C31 C32 C33 C34 C36 C37 C38 C39 C40 C41 C42 C43 C45 C46 C47 C48 C50 C51 C52 C53"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