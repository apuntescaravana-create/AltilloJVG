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FÍSICA</t>
        </is>
      </c>
      <c r="I1" s="2" t="inlineStr">
        <is>
          <t>CONTROL DE TRAYECTORIA</t>
        </is>
      </c>
    </row>
    <row r="2" ht="22" customHeight="1">
      <c r="A2" s="3" t="inlineStr">
        <is>
          <t>La Caravana + Estudiantes Independientes | Altillo JVG - ISP Joaquín V. González</t>
        </is>
      </c>
      <c r="I2" s="4" t="inlineStr">
        <is>
          <t>Total de Materias del Plan</t>
        </is>
      </c>
      <c r="J2" s="5" t="n">
        <v>35</v>
      </c>
    </row>
    <row r="3" ht="22" customHeight="1">
      <c r="I3" s="4" t="inlineStr">
        <is>
          <t>Materias con Cursada Regular</t>
        </is>
      </c>
      <c r="J3" s="5">
        <f>COUNTIF(B6:B44,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COUNTIF(C6:C44, "SI")</f>
        <v/>
      </c>
    </row>
    <row r="5" ht="22" customHeight="1">
      <c r="A5" s="7" t="inlineStr">
        <is>
          <t>📌 1° AÑO</t>
        </is>
      </c>
      <c r="I5" s="4" t="inlineStr">
        <is>
          <t>Finales Adeudados</t>
        </is>
      </c>
      <c r="J5" s="5">
        <f>COUNTIF(F6:F44, "ADEUDA FINAL")</f>
        <v/>
      </c>
    </row>
    <row r="6" ht="22" customHeight="1">
      <c r="A6" s="8" t="inlineStr">
        <is>
          <t>Física General I (Mecánica y Cinemática)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COUNTIF(B6:B44, "SI")/35</f>
        <v/>
      </c>
    </row>
    <row r="7" ht="22" customHeight="1">
      <c r="A7" s="8" t="inlineStr">
        <is>
          <t>Álgebra y Geometría Analítica I</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COUNTIF(C6:C44, "SI")/35</f>
        <v/>
      </c>
    </row>
    <row r="8" ht="20" customHeight="1">
      <c r="A8" s="8" t="inlineStr">
        <is>
          <t>Análisis Matemático I</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Laboratorio de Física I</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Pedagogía</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Lectura, Escritura y Oralidad I (LEO 1)</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Trabajo de Campo I</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7" t="inlineStr">
        <is>
          <t>📌 2° AÑO</t>
        </is>
      </c>
      <c r="I13" s="14" t="inlineStr">
        <is>
          <t>4. Las columnas E, F y G se actualizan automaticamente en tiempo real.</t>
        </is>
      </c>
    </row>
    <row r="14" ht="20" customHeight="1">
      <c r="A14" s="8" t="inlineStr">
        <is>
          <t>Física General II (Calor, Termodinámica y Fluidos)</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8" t="inlineStr">
        <is>
          <t>Física General III (Óptica y Ondas)</t>
        </is>
      </c>
      <c r="B15" s="9" t="inlineStr">
        <is>
          <t>NO</t>
        </is>
      </c>
      <c r="C15" s="9" t="inlineStr">
        <is>
          <t>NO</t>
        </is>
      </c>
      <c r="D15" s="10" t="inlineStr">
        <is>
          <t>2°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Análisis Matemático II</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Química General</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Laboratorio de Física II</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Didáctica General</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Psicología Educacional</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Sujetos de la Educación</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0" customHeight="1">
      <c r="A22" s="8" t="inlineStr">
        <is>
          <t>Trabajo de Campo II</t>
        </is>
      </c>
      <c r="B22" s="9" t="inlineStr">
        <is>
          <t>NO</t>
        </is>
      </c>
      <c r="C22" s="9" t="inlineStr">
        <is>
          <t>NO</t>
        </is>
      </c>
      <c r="D22" s="10" t="inlineStr">
        <is>
          <t>2° Año</t>
        </is>
      </c>
      <c r="E22" s="10">
        <f>IF(B22="SI", "REGULAR", "PENDIENTE")</f>
        <v/>
      </c>
      <c r="F22" s="10">
        <f>IF(C22="SI", "APROBADO", IF(B22="SI", "ADEUDA FINAL", "ADEUDA"))</f>
        <v/>
      </c>
      <c r="G22" s="11">
        <f>IF(C22="SI", "🟢 Aprobada", IF(B22="SI", "🟡 Regular", "🟣 Pendiente"))</f>
        <v/>
      </c>
    </row>
    <row r="23" ht="22" customHeight="1">
      <c r="A23" s="7" t="inlineStr">
        <is>
          <t>📌 3° AÑO</t>
        </is>
      </c>
    </row>
    <row r="24" ht="20" customHeight="1">
      <c r="A24" s="8" t="inlineStr">
        <is>
          <t>Física General IV (Electromagnetismo)</t>
        </is>
      </c>
      <c r="B24" s="9" t="inlineStr">
        <is>
          <t>NO</t>
        </is>
      </c>
      <c r="C24" s="9" t="inlineStr">
        <is>
          <t>NO</t>
        </is>
      </c>
      <c r="D24" s="10" t="inlineStr">
        <is>
          <t>3° Año</t>
        </is>
      </c>
      <c r="E24" s="10">
        <f>IF(B24="SI", "REGULAR", "PENDIENTE")</f>
        <v/>
      </c>
      <c r="F24" s="10">
        <f>IF(C24="SI", "APROBADO", IF(B24="SI", "ADEUDA FINAL", "ADEUDA"))</f>
        <v/>
      </c>
      <c r="G24" s="11">
        <f>IF(C24="SI", "🟢 Aprobada", IF(B24="SI", "🟡 Regular", "🟣 Pendiente"))</f>
        <v/>
      </c>
    </row>
    <row r="25" ht="20" customHeight="1">
      <c r="A25" s="8" t="inlineStr">
        <is>
          <t>Métodos Matemáticos de la Física</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Mecánica Teórica</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Didáctica de la Física I</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Laboratorio de Física III</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Historia Social de la Educación</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0" customHeight="1">
      <c r="A30" s="8" t="inlineStr">
        <is>
          <t>Derechos Humanos, Sociedad y Estado</t>
        </is>
      </c>
      <c r="B30" s="9" t="inlineStr">
        <is>
          <t>NO</t>
        </is>
      </c>
      <c r="C30" s="9" t="inlineStr">
        <is>
          <t>NO</t>
        </is>
      </c>
      <c r="D30" s="10" t="inlineStr">
        <is>
          <t>3° Año</t>
        </is>
      </c>
      <c r="E30" s="10">
        <f>IF(B30="SI", "REGULAR", "PENDIENTE")</f>
        <v/>
      </c>
      <c r="F30" s="10">
        <f>IF(C30="SI", "APROBADO", IF(B30="SI", "ADEUDA FINAL", "ADEUDA"))</f>
        <v/>
      </c>
      <c r="G30" s="11">
        <f>IF(C30="SI", "🟢 Aprobada", IF(B30="SI", "🟡 Regular", "🟣 Pendiente"))</f>
        <v/>
      </c>
    </row>
    <row r="31" ht="20" customHeight="1">
      <c r="A31" s="8" t="inlineStr">
        <is>
          <t>Construcción de la Práctica Docente I</t>
        </is>
      </c>
      <c r="B31" s="9" t="inlineStr">
        <is>
          <t>NO</t>
        </is>
      </c>
      <c r="C31" s="9" t="inlineStr">
        <is>
          <t>NO</t>
        </is>
      </c>
      <c r="D31" s="10" t="inlineStr">
        <is>
          <t>3° Año</t>
        </is>
      </c>
      <c r="E31" s="10">
        <f>IF(B31="SI", "REGULAR", "PENDIENTE")</f>
        <v/>
      </c>
      <c r="F31" s="10">
        <f>IF(C31="SI", "APROBADO", IF(B31="SI", "ADEUDA FINAL", "ADEUDA"))</f>
        <v/>
      </c>
      <c r="G31" s="11">
        <f>IF(C31="SI", "🟢 Aprobada", IF(B31="SI", "🟡 Regular", "🟣 Pendiente"))</f>
        <v/>
      </c>
    </row>
    <row r="32" ht="22" customHeight="1">
      <c r="A32" s="7" t="inlineStr">
        <is>
          <t>📌 4° AÑO</t>
        </is>
      </c>
    </row>
    <row r="33" ht="20" customHeight="1">
      <c r="A33" s="8" t="inlineStr">
        <is>
          <t>Introducción a la Física Moderna y Cuántica</t>
        </is>
      </c>
      <c r="B33" s="9" t="inlineStr">
        <is>
          <t>NO</t>
        </is>
      </c>
      <c r="C33" s="9" t="inlineStr">
        <is>
          <t>NO</t>
        </is>
      </c>
      <c r="D33" s="10" t="inlineStr">
        <is>
          <t>4° Año</t>
        </is>
      </c>
      <c r="E33" s="10">
        <f>IF(B33="SI", "REGULAR", "PENDIENTE")</f>
        <v/>
      </c>
      <c r="F33" s="10">
        <f>IF(C33="SI", "APROBADO", IF(B33="SI", "ADEUDA FINAL", "ADEUDA"))</f>
        <v/>
      </c>
      <c r="G33" s="11">
        <f>IF(C33="SI", "🟢 Aprobada", IF(B33="SI", "🟡 Regular", "🟣 Pendiente"))</f>
        <v/>
      </c>
    </row>
    <row r="34" ht="20" customHeight="1">
      <c r="A34" s="8" t="inlineStr">
        <is>
          <t>Termodinámica Estadística</t>
        </is>
      </c>
      <c r="B34" s="9" t="inlineStr">
        <is>
          <t>NO</t>
        </is>
      </c>
      <c r="C34" s="9" t="inlineStr">
        <is>
          <t>NO</t>
        </is>
      </c>
      <c r="D34" s="10" t="inlineStr">
        <is>
          <t>4° Año</t>
        </is>
      </c>
      <c r="E34" s="10">
        <f>IF(B34="SI", "REGULAR", "PENDIENTE")</f>
        <v/>
      </c>
      <c r="F34" s="10">
        <f>IF(C34="SI", "APROBADO", IF(B34="SI", "ADEUDA FINAL", "ADEUDA"))</f>
        <v/>
      </c>
      <c r="G34" s="11">
        <f>IF(C34="SI", "🟢 Aprobada", IF(B34="SI", "🟡 Regular", "🟣 Pendiente"))</f>
        <v/>
      </c>
    </row>
    <row r="35" ht="20" customHeight="1">
      <c r="A35" s="8" t="inlineStr">
        <is>
          <t>Astronomía y Astrofísica Básica</t>
        </is>
      </c>
      <c r="B35" s="9" t="inlineStr">
        <is>
          <t>NO</t>
        </is>
      </c>
      <c r="C35" s="9" t="inlineStr">
        <is>
          <t>NO</t>
        </is>
      </c>
      <c r="D35" s="10" t="inlineStr">
        <is>
          <t>4° Año</t>
        </is>
      </c>
      <c r="E35" s="10">
        <f>IF(B35="SI", "REGULAR", "PENDIENTE")</f>
        <v/>
      </c>
      <c r="F35" s="10">
        <f>IF(C35="SI", "APROBADO", IF(B35="SI", "ADEUDA FINAL", "ADEUDA"))</f>
        <v/>
      </c>
      <c r="G35" s="11">
        <f>IF(C35="SI", "🟢 Aprobada", IF(B35="SI", "🟡 Regular", "🟣 Pendiente"))</f>
        <v/>
      </c>
    </row>
    <row r="36" ht="20" customHeight="1">
      <c r="A36" s="8" t="inlineStr">
        <is>
          <t>Didáctica de la Física II</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Historia y Epistemología de la Física</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0" customHeight="1">
      <c r="A38" s="8" t="inlineStr">
        <is>
          <t>Educación Sexual Integral (ESI)</t>
        </is>
      </c>
      <c r="B38" s="9" t="inlineStr">
        <is>
          <t>NO</t>
        </is>
      </c>
      <c r="C38" s="9" t="inlineStr">
        <is>
          <t>NO</t>
        </is>
      </c>
      <c r="D38" s="10" t="inlineStr">
        <is>
          <t>4° Año</t>
        </is>
      </c>
      <c r="E38" s="10">
        <f>IF(B38="SI", "REGULAR", "PENDIENTE")</f>
        <v/>
      </c>
      <c r="F38" s="10">
        <f>IF(C38="SI", "APROBADO", IF(B38="SI", "ADEUDA FINAL", "ADEUDA"))</f>
        <v/>
      </c>
      <c r="G38" s="11">
        <f>IF(C38="SI", "🟢 Aprobada", IF(B38="SI", "🟡 Regular", "🟣 Pendiente"))</f>
        <v/>
      </c>
    </row>
    <row r="39" ht="20" customHeight="1">
      <c r="A39" s="8" t="inlineStr">
        <is>
          <t>Ética y Trabajo Docente</t>
        </is>
      </c>
      <c r="B39" s="9" t="inlineStr">
        <is>
          <t>NO</t>
        </is>
      </c>
      <c r="C39" s="9" t="inlineStr">
        <is>
          <t>NO</t>
        </is>
      </c>
      <c r="D39" s="10" t="inlineStr">
        <is>
          <t>4° Año</t>
        </is>
      </c>
      <c r="E39" s="10">
        <f>IF(B39="SI", "REGULAR", "PENDIENTE")</f>
        <v/>
      </c>
      <c r="F39" s="10">
        <f>IF(C39="SI", "APROBADO", IF(B39="SI", "ADEUDA FINAL", "ADEUDA"))</f>
        <v/>
      </c>
      <c r="G39" s="11">
        <f>IF(C39="SI", "🟢 Aprobada", IF(B39="SI", "🟡 Regular", "🟣 Pendiente"))</f>
        <v/>
      </c>
    </row>
    <row r="40" ht="20" customHeight="1">
      <c r="A40" s="8" t="inlineStr">
        <is>
          <t>Residencia y Construcción de la Práctica Docente II</t>
        </is>
      </c>
      <c r="B40" s="9" t="inlineStr">
        <is>
          <t>NO</t>
        </is>
      </c>
      <c r="C40" s="9" t="inlineStr">
        <is>
          <t>NO</t>
        </is>
      </c>
      <c r="D40" s="10" t="inlineStr">
        <is>
          <t>4° Año</t>
        </is>
      </c>
      <c r="E40" s="10">
        <f>IF(B40="SI", "REGULAR", "PENDIENTE")</f>
        <v/>
      </c>
      <c r="F40" s="10">
        <f>IF(C40="SI", "APROBADO", IF(B40="SI", "ADEUDA FINAL", "ADEUDA"))</f>
        <v/>
      </c>
      <c r="G40" s="11">
        <f>IF(C40="SI", "🟢 Aprobada", IF(B40="SI", "🟡 Regular", "🟣 Pendiente"))</f>
        <v/>
      </c>
    </row>
    <row r="41" ht="22" customHeight="1">
      <c r="A41" s="7" t="inlineStr">
        <is>
          <t>📌 TRAMO SUPERIOR / SEMINARIOS</t>
        </is>
      </c>
    </row>
    <row r="42" ht="20" customHeight="1">
      <c r="A42" s="8" t="inlineStr">
        <is>
          <t>Seminario de Física Contemporánea</t>
        </is>
      </c>
      <c r="B42" s="9" t="inlineStr">
        <is>
          <t>NO</t>
        </is>
      </c>
      <c r="C42" s="9" t="inlineStr">
        <is>
          <t>NO</t>
        </is>
      </c>
      <c r="D42" s="10" t="inlineStr">
        <is>
          <t>Tramo Superior / Seminarios</t>
        </is>
      </c>
      <c r="E42" s="10">
        <f>IF(B42="SI", "REGULAR", "PENDIENTE")</f>
        <v/>
      </c>
      <c r="F42" s="10">
        <f>IF(C42="SI", "APROBADO", IF(B42="SI", "ADEUDA FINAL", "ADEUDA"))</f>
        <v/>
      </c>
      <c r="G42" s="11">
        <f>IF(C42="SI", "🟢 Aprobada", IF(B42="SI", "🟡 Regular", "🟣 Pendiente"))</f>
        <v/>
      </c>
    </row>
    <row r="43" ht="20" customHeight="1">
      <c r="A43" s="8" t="inlineStr">
        <is>
          <t>Taller de Experimentación y Modelización</t>
        </is>
      </c>
      <c r="B43" s="9" t="inlineStr">
        <is>
          <t>NO</t>
        </is>
      </c>
      <c r="C43" s="9" t="inlineStr">
        <is>
          <t>NO</t>
        </is>
      </c>
      <c r="D43" s="10" t="inlineStr">
        <is>
          <t>Tramo Superior / Seminarios</t>
        </is>
      </c>
      <c r="E43" s="10">
        <f>IF(B43="SI", "REGULAR", "PENDIENTE")</f>
        <v/>
      </c>
      <c r="F43" s="10">
        <f>IF(C43="SI", "APROBADO", IF(B43="SI", "ADEUDA FINAL", "ADEUDA"))</f>
        <v/>
      </c>
      <c r="G43" s="11">
        <f>IF(C43="SI", "🟢 Aprobada", IF(B43="SI", "🟡 Regular", "🟣 Pendiente"))</f>
        <v/>
      </c>
    </row>
    <row r="44" ht="20" customHeight="1">
      <c r="A44" s="8" t="inlineStr">
        <is>
          <t>Taller de Investigación en Enseñanza de la Física</t>
        </is>
      </c>
      <c r="B44" s="9" t="inlineStr">
        <is>
          <t>NO</t>
        </is>
      </c>
      <c r="C44" s="9" t="inlineStr">
        <is>
          <t>NO</t>
        </is>
      </c>
      <c r="D44" s="10" t="inlineStr">
        <is>
          <t>Tramo Superior / Seminarios</t>
        </is>
      </c>
      <c r="E44" s="10">
        <f>IF(B44="SI", "REGULAR", "PENDIENTE")</f>
        <v/>
      </c>
      <c r="F44" s="10">
        <f>IF(C44="SI", "APROBADO", IF(B44="SI", "ADEUDA FINAL", "ADEUDA"))</f>
        <v/>
      </c>
      <c r="G44" s="11">
        <f>IF(C44="SI", "🟢 Aprobada", IF(B44="SI", "🟡 Regular", "🟣 Pendiente"))</f>
        <v/>
      </c>
    </row>
  </sheetData>
  <mergeCells count="15">
    <mergeCell ref="A32:G32"/>
    <mergeCell ref="A13:G13"/>
    <mergeCell ref="I12:J12"/>
    <mergeCell ref="A1:G1"/>
    <mergeCell ref="I15:J15"/>
    <mergeCell ref="I10:J10"/>
    <mergeCell ref="I1:K1"/>
    <mergeCell ref="I11:J11"/>
    <mergeCell ref="A2:G2"/>
    <mergeCell ref="I13:J13"/>
    <mergeCell ref="I14:J14"/>
    <mergeCell ref="A41:G41"/>
    <mergeCell ref="I9:J9"/>
    <mergeCell ref="A5:G5"/>
    <mergeCell ref="A23:G23"/>
  </mergeCells>
  <dataValidations count="1">
    <dataValidation sqref="B6 B7 B8 B9 B10 B11 B12 B14 B15 B16 B17 B18 B19 B20 B21 B22 B24 B25 B26 B27 B28 B29 B30 B31 B33 B34 B35 B36 B37 B38 B39 B40 B42 B43 B44 C6 C7 C8 C9 C10 C11 C12 C14 C15 C16 C17 C18 C19 C20 C21 C22 C24 C25 C26 C27 C28 C29 C30 C31 C33 C34 C35 C36 C37 C38 C39 C40 C42 C43 C44"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2026-08-31T01:11:53Z</dcterms:created>
  <dcterms:modified xmlns:dcterms="http://purl.org/dc/terms/" xmlns:xsi="http://www.w3.org/2001/XMLSchema-instance" xsi:type="dcterms:W3CDTF">2026-08-31T01:11:53Z</dcterms:modified>
</cp:coreProperties>
</file>