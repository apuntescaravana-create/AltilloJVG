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2"/>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FÍSICA</t>
        </is>
      </c>
      <c r="I1" s="2" t="inlineStr">
        <is>
          <t>CONTROL DE TRAYECTORIA</t>
        </is>
      </c>
    </row>
    <row r="2" ht="22" customHeight="1">
      <c r="A2" s="3" t="inlineStr">
        <is>
          <t>La Caravana + Estudiantes Independientes | Altillo JVG - ISP Joaquín V. González</t>
        </is>
      </c>
      <c r="I2" s="4" t="inlineStr">
        <is>
          <t>Total de Materias del Plan</t>
        </is>
      </c>
      <c r="J2" s="5" t="n">
        <v>42</v>
      </c>
    </row>
    <row r="3" ht="22" customHeight="1">
      <c r="I3" s="4" t="inlineStr">
        <is>
          <t>Materias con Cursada Regular</t>
        </is>
      </c>
      <c r="J3" s="5">
        <f>COUNTIF(B6:B52,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COUNTIF(C6:C52, "SI")</f>
        <v/>
      </c>
    </row>
    <row r="5" ht="22" customHeight="1">
      <c r="A5" s="7" t="inlineStr">
        <is>
          <t>📌 1° AÑO</t>
        </is>
      </c>
      <c r="I5" s="4" t="inlineStr">
        <is>
          <t>Finales Adeudados</t>
        </is>
      </c>
      <c r="J5" s="5">
        <f>COUNTIF(F6:F52, "ADEUDA FINAL")</f>
        <v/>
      </c>
    </row>
    <row r="6" ht="22" customHeight="1">
      <c r="A6" s="8" t="inlineStr">
        <is>
          <t>Física 1</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COUNTIF(B6:B52, "SI")/42</f>
        <v/>
      </c>
    </row>
    <row r="7" ht="22" customHeight="1">
      <c r="A7" s="8" t="inlineStr">
        <is>
          <t>Análisis Matemático I</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COUNTIF(C6:C52, "SI")/42</f>
        <v/>
      </c>
    </row>
    <row r="8" ht="20" customHeight="1">
      <c r="A8" s="8" t="inlineStr">
        <is>
          <t>Álgebras 1</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Geometría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7" t="inlineStr">
        <is>
          <t>📌 TRAMO SUPERIOR / SEMINARIOS</t>
        </is>
      </c>
      <c r="I10" s="14" t="inlineStr">
        <is>
          <t>1. Hace clic en la celda y elegi 'SI' o 'NO' desde el menu desplegable.</t>
        </is>
      </c>
    </row>
    <row r="11" ht="20" customHeight="1">
      <c r="A11" s="8" t="inlineStr">
        <is>
          <t>Trabajo de Campo I</t>
        </is>
      </c>
      <c r="B11" s="9" t="inlineStr">
        <is>
          <t>NO</t>
        </is>
      </c>
      <c r="C11" s="9" t="inlineStr">
        <is>
          <t>NO</t>
        </is>
      </c>
      <c r="D11" s="10" t="inlineStr">
        <is>
          <t>Tramo Superior / Seminarios</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Lectura, escritura y oralidad 1</t>
        </is>
      </c>
      <c r="B12" s="9" t="inlineStr">
        <is>
          <t>NO</t>
        </is>
      </c>
      <c r="C12" s="9" t="inlineStr">
        <is>
          <t>NO</t>
        </is>
      </c>
      <c r="D12" s="10" t="inlineStr">
        <is>
          <t>Tramo Superior / Seminarios</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Pedagogía</t>
        </is>
      </c>
      <c r="B13" s="9" t="inlineStr">
        <is>
          <t>NO</t>
        </is>
      </c>
      <c r="C13" s="9" t="inlineStr">
        <is>
          <t>NO</t>
        </is>
      </c>
      <c r="D13" s="10" t="inlineStr">
        <is>
          <t>Tramo Superior / Seminarios</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Nuevas tecnologias</t>
        </is>
      </c>
      <c r="B14" s="9" t="inlineStr">
        <is>
          <t>NO</t>
        </is>
      </c>
      <c r="C14" s="9" t="inlineStr">
        <is>
          <t>NO</t>
        </is>
      </c>
      <c r="D14" s="10" t="inlineStr">
        <is>
          <t>Tramo Superior / Seminarios</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Trabajo de Campo II</t>
        </is>
      </c>
      <c r="B15" s="9" t="inlineStr">
        <is>
          <t>NO</t>
        </is>
      </c>
      <c r="C15" s="9" t="inlineStr">
        <is>
          <t>NO</t>
        </is>
      </c>
      <c r="D15" s="10" t="inlineStr">
        <is>
          <t>Tramo Superior / Seminarios</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Didáctica general</t>
        </is>
      </c>
      <c r="B16" s="9" t="inlineStr">
        <is>
          <t>NO</t>
        </is>
      </c>
      <c r="C16" s="9" t="inlineStr">
        <is>
          <t>NO</t>
        </is>
      </c>
      <c r="D16" s="10" t="inlineStr">
        <is>
          <t>Tramo Superior / Seminarios</t>
        </is>
      </c>
      <c r="E16" s="10">
        <f>IF(B16="SI", "REGULAR", "PENDIENTE")</f>
        <v/>
      </c>
      <c r="F16" s="10">
        <f>IF(C16="SI", "APROBADO", IF(B16="SI", "ADEUDA FINAL", "ADEUDA"))</f>
        <v/>
      </c>
      <c r="G16" s="11">
        <f>IF(C16="SI", "🟢 Aprobada", IF(B16="SI", "🟡 Regular", "🟣 Pendiente"))</f>
        <v/>
      </c>
    </row>
    <row r="17" ht="20" customHeight="1">
      <c r="A17" s="8" t="inlineStr">
        <is>
          <t>Psicología educacional</t>
        </is>
      </c>
      <c r="B17" s="9" t="inlineStr">
        <is>
          <t>NO</t>
        </is>
      </c>
      <c r="C17" s="9" t="inlineStr">
        <is>
          <t>NO</t>
        </is>
      </c>
      <c r="D17" s="10" t="inlineStr">
        <is>
          <t>Tramo Superior / Seminarios</t>
        </is>
      </c>
      <c r="E17" s="10">
        <f>IF(B17="SI", "REGULAR", "PENDIENTE")</f>
        <v/>
      </c>
      <c r="F17" s="10">
        <f>IF(C17="SI", "APROBADO", IF(B17="SI", "ADEUDA FINAL", "ADEUDA"))</f>
        <v/>
      </c>
      <c r="G17" s="11">
        <f>IF(C17="SI", "🟢 Aprobada", IF(B17="SI", "🟡 Regular", "🟣 Pendiente"))</f>
        <v/>
      </c>
    </row>
    <row r="18" ht="20" customHeight="1">
      <c r="A18" s="8" t="inlineStr">
        <is>
          <t>Sujeros del nivel</t>
        </is>
      </c>
      <c r="B18" s="9" t="inlineStr">
        <is>
          <t>NO</t>
        </is>
      </c>
      <c r="C18" s="9" t="inlineStr">
        <is>
          <t>NO</t>
        </is>
      </c>
      <c r="D18" s="10" t="inlineStr">
        <is>
          <t>Tramo Superior / Seminarios</t>
        </is>
      </c>
      <c r="E18" s="10">
        <f>IF(B18="SI", "REGULAR", "PENDIENTE")</f>
        <v/>
      </c>
      <c r="F18" s="10">
        <f>IF(C18="SI", "APROBADO", IF(B18="SI", "ADEUDA FINAL", "ADEUDA"))</f>
        <v/>
      </c>
      <c r="G18" s="11">
        <f>IF(C18="SI", "🟢 Aprobada", IF(B18="SI", "🟡 Regular", "🟣 Pendiente"))</f>
        <v/>
      </c>
    </row>
    <row r="19" ht="20" customHeight="1">
      <c r="A19" s="8" t="inlineStr">
        <is>
          <t>Astrofísica</t>
        </is>
      </c>
      <c r="B19" s="9" t="inlineStr">
        <is>
          <t>NO</t>
        </is>
      </c>
      <c r="C19" s="9" t="inlineStr">
        <is>
          <t>NO</t>
        </is>
      </c>
      <c r="D19" s="10" t="inlineStr">
        <is>
          <t>Tramo Superior / Seminarios</t>
        </is>
      </c>
      <c r="E19" s="10">
        <f>IF(B19="SI", "REGULAR", "PENDIENTE")</f>
        <v/>
      </c>
      <c r="F19" s="10">
        <f>IF(C19="SI", "APROBADO", IF(B19="SI", "ADEUDA FINAL", "ADEUDA"))</f>
        <v/>
      </c>
      <c r="G19" s="11">
        <f>IF(C19="SI", "🟢 Aprobada", IF(B19="SI", "🟡 Regular", "🟣 Pendiente"))</f>
        <v/>
      </c>
    </row>
    <row r="20" ht="20" customHeight="1">
      <c r="A20" s="8" t="inlineStr">
        <is>
          <t>Matemática superior A</t>
        </is>
      </c>
      <c r="B20" s="9" t="inlineStr">
        <is>
          <t>NO</t>
        </is>
      </c>
      <c r="C20" s="9" t="inlineStr">
        <is>
          <t>NO</t>
        </is>
      </c>
      <c r="D20" s="10" t="inlineStr">
        <is>
          <t>Tramo Superior / Seminarios</t>
        </is>
      </c>
      <c r="E20" s="10">
        <f>IF(B20="SI", "REGULAR", "PENDIENTE")</f>
        <v/>
      </c>
      <c r="F20" s="10">
        <f>IF(C20="SI", "APROBADO", IF(B20="SI", "ADEUDA FINAL", "ADEUDA"))</f>
        <v/>
      </c>
      <c r="G20" s="11">
        <f>IF(C20="SI", "🟢 Aprobada", IF(B20="SI", "🟡 Regular", "🟣 Pendiente"))</f>
        <v/>
      </c>
    </row>
    <row r="21" ht="20" customHeight="1">
      <c r="A21" s="8" t="inlineStr">
        <is>
          <t>Matemática superior B</t>
        </is>
      </c>
      <c r="B21" s="9" t="inlineStr">
        <is>
          <t>NO</t>
        </is>
      </c>
      <c r="C21" s="9" t="inlineStr">
        <is>
          <t>NO</t>
        </is>
      </c>
      <c r="D21" s="10" t="inlineStr">
        <is>
          <t>Tramo Superior / Seminarios</t>
        </is>
      </c>
      <c r="E21" s="10">
        <f>IF(B21="SI", "REGULAR", "PENDIENTE")</f>
        <v/>
      </c>
      <c r="F21" s="10">
        <f>IF(C21="SI", "APROBADO", IF(B21="SI", "ADEUDA FINAL", "ADEUDA"))</f>
        <v/>
      </c>
      <c r="G21" s="11">
        <f>IF(C21="SI", "🟢 Aprobada", IF(B21="SI", "🟡 Regular", "🟣 Pendiente"))</f>
        <v/>
      </c>
    </row>
    <row r="22" ht="20" customHeight="1">
      <c r="A22" s="8" t="inlineStr">
        <is>
          <t>Didáctica de la física 1</t>
        </is>
      </c>
      <c r="B22" s="9" t="inlineStr">
        <is>
          <t>NO</t>
        </is>
      </c>
      <c r="C22" s="9" t="inlineStr">
        <is>
          <t>NO</t>
        </is>
      </c>
      <c r="D22" s="10" t="inlineStr">
        <is>
          <t>Tramo Superior / Seminarios</t>
        </is>
      </c>
      <c r="E22" s="10">
        <f>IF(B22="SI", "REGULAR", "PENDIENTE")</f>
        <v/>
      </c>
      <c r="F22" s="10">
        <f>IF(C22="SI", "APROBADO", IF(B22="SI", "ADEUDA FINAL", "ADEUDA"))</f>
        <v/>
      </c>
      <c r="G22" s="11">
        <f>IF(C22="SI", "🟢 Aprobada", IF(B22="SI", "🟡 Regular", "🟣 Pendiente"))</f>
        <v/>
      </c>
    </row>
    <row r="23" ht="20" customHeight="1">
      <c r="A23" s="8" t="inlineStr">
        <is>
          <t>Trabajo de Campo III</t>
        </is>
      </c>
      <c r="B23" s="9" t="inlineStr">
        <is>
          <t>NO</t>
        </is>
      </c>
      <c r="C23" s="9" t="inlineStr">
        <is>
          <t>NO</t>
        </is>
      </c>
      <c r="D23" s="10" t="inlineStr">
        <is>
          <t>Tramo Superior / Seminarios</t>
        </is>
      </c>
      <c r="E23" s="10">
        <f>IF(B23="SI", "REGULAR", "PENDIENTE")</f>
        <v/>
      </c>
      <c r="F23" s="10">
        <f>IF(C23="SI", "APROBADO", IF(B23="SI", "ADEUDA FINAL", "ADEUDA"))</f>
        <v/>
      </c>
      <c r="G23" s="11">
        <f>IF(C23="SI", "🟢 Aprobada", IF(B23="SI", "🟡 Regular", "🟣 Pendiente"))</f>
        <v/>
      </c>
    </row>
    <row r="24" ht="20" customHeight="1">
      <c r="A24" s="8" t="inlineStr">
        <is>
          <t>DDHH, estado y sociedad</t>
        </is>
      </c>
      <c r="B24" s="9" t="inlineStr">
        <is>
          <t>NO</t>
        </is>
      </c>
      <c r="C24" s="9" t="inlineStr">
        <is>
          <t>NO</t>
        </is>
      </c>
      <c r="D24" s="10" t="inlineStr">
        <is>
          <t>Tramo Superior / Seminarios</t>
        </is>
      </c>
      <c r="E24" s="10">
        <f>IF(B24="SI", "REGULAR", "PENDIENTE")</f>
        <v/>
      </c>
      <c r="F24" s="10">
        <f>IF(C24="SI", "APROBADO", IF(B24="SI", "ADEUDA FINAL", "ADEUDA"))</f>
        <v/>
      </c>
      <c r="G24" s="11">
        <f>IF(C24="SI", "🟢 Aprobada", IF(B24="SI", "🟡 Regular", "🟣 Pendiente"))</f>
        <v/>
      </c>
    </row>
    <row r="25" ht="20" customHeight="1">
      <c r="A25" s="8" t="inlineStr">
        <is>
          <t>Esi</t>
        </is>
      </c>
      <c r="B25" s="9" t="inlineStr">
        <is>
          <t>NO</t>
        </is>
      </c>
      <c r="C25" s="9" t="inlineStr">
        <is>
          <t>NO</t>
        </is>
      </c>
      <c r="D25" s="10" t="inlineStr">
        <is>
          <t>Tramo Superior / Seminarios</t>
        </is>
      </c>
      <c r="E25" s="10">
        <f>IF(B25="SI", "REGULAR", "PENDIENTE")</f>
        <v/>
      </c>
      <c r="F25" s="10">
        <f>IF(C25="SI", "APROBADO", IF(B25="SI", "ADEUDA FINAL", "ADEUDA"))</f>
        <v/>
      </c>
      <c r="G25" s="11">
        <f>IF(C25="SI", "🟢 Aprobada", IF(B25="SI", "🟡 Regular", "🟣 Pendiente"))</f>
        <v/>
      </c>
    </row>
    <row r="26" ht="20" customHeight="1">
      <c r="A26" s="8" t="inlineStr">
        <is>
          <t>Filosofía</t>
        </is>
      </c>
      <c r="B26" s="9" t="inlineStr">
        <is>
          <t>NO</t>
        </is>
      </c>
      <c r="C26" s="9" t="inlineStr">
        <is>
          <t>NO</t>
        </is>
      </c>
      <c r="D26" s="10" t="inlineStr">
        <is>
          <t>Tramo Superior / Seminarios</t>
        </is>
      </c>
      <c r="E26" s="10">
        <f>IF(B26="SI", "REGULAR", "PENDIENTE")</f>
        <v/>
      </c>
      <c r="F26" s="10">
        <f>IF(C26="SI", "APROBADO", IF(B26="SI", "ADEUDA FINAL", "ADEUDA"))</f>
        <v/>
      </c>
      <c r="G26" s="11">
        <f>IF(C26="SI", "🟢 Aprobada", IF(B26="SI", "🟡 Regular", "🟣 Pendiente"))</f>
        <v/>
      </c>
    </row>
    <row r="27" ht="20" customHeight="1">
      <c r="A27" s="8" t="inlineStr">
        <is>
          <t>Lectura, escritura y oralidad 2</t>
        </is>
      </c>
      <c r="B27" s="9" t="inlineStr">
        <is>
          <t>NO</t>
        </is>
      </c>
      <c r="C27" s="9" t="inlineStr">
        <is>
          <t>NO</t>
        </is>
      </c>
      <c r="D27" s="10" t="inlineStr">
        <is>
          <t>Tramo Superior / Seminarios</t>
        </is>
      </c>
      <c r="E27" s="10">
        <f>IF(B27="SI", "REGULAR", "PENDIENTE")</f>
        <v/>
      </c>
      <c r="F27" s="10">
        <f>IF(C27="SI", "APROBADO", IF(B27="SI", "ADEUDA FINAL", "ADEUDA"))</f>
        <v/>
      </c>
      <c r="G27" s="11">
        <f>IF(C27="SI", "🟢 Aprobada", IF(B27="SI", "🟡 Regular", "🟣 Pendiente"))</f>
        <v/>
      </c>
    </row>
    <row r="28" ht="22" customHeight="1">
      <c r="A28" s="7" t="inlineStr">
        <is>
          <t>📌 2° AÑO</t>
        </is>
      </c>
    </row>
    <row r="29" ht="20" customHeight="1">
      <c r="A29" s="8" t="inlineStr">
        <is>
          <t>Física 2</t>
        </is>
      </c>
      <c r="B29" s="9" t="inlineStr">
        <is>
          <t>NO</t>
        </is>
      </c>
      <c r="C29" s="9" t="inlineStr">
        <is>
          <t>NO</t>
        </is>
      </c>
      <c r="D29" s="10" t="inlineStr">
        <is>
          <t>2° Año</t>
        </is>
      </c>
      <c r="E29" s="10">
        <f>IF(B29="SI", "REGULAR", "PENDIENTE")</f>
        <v/>
      </c>
      <c r="F29" s="10">
        <f>IF(C29="SI", "APROBADO", IF(B29="SI", "ADEUDA FINAL", "ADEUDA"))</f>
        <v/>
      </c>
      <c r="G29" s="11">
        <f>IF(C29="SI", "🟢 Aprobada", IF(B29="SI", "🟡 Regular", "🟣 Pendiente"))</f>
        <v/>
      </c>
    </row>
    <row r="30" ht="20" customHeight="1">
      <c r="A30" s="8" t="inlineStr">
        <is>
          <t>Análisis Matemático II</t>
        </is>
      </c>
      <c r="B30" s="9" t="inlineStr">
        <is>
          <t>NO</t>
        </is>
      </c>
      <c r="C30" s="9" t="inlineStr">
        <is>
          <t>NO</t>
        </is>
      </c>
      <c r="D30" s="10" t="inlineStr">
        <is>
          <t>2° Año</t>
        </is>
      </c>
      <c r="E30" s="10">
        <f>IF(B30="SI", "REGULAR", "PENDIENTE")</f>
        <v/>
      </c>
      <c r="F30" s="10">
        <f>IF(C30="SI", "APROBADO", IF(B30="SI", "ADEUDA FINAL", "ADEUDA"))</f>
        <v/>
      </c>
      <c r="G30" s="11">
        <f>IF(C30="SI", "🟢 Aprobada", IF(B30="SI", "🟡 Regular", "🟣 Pendiente"))</f>
        <v/>
      </c>
    </row>
    <row r="31" ht="20" customHeight="1">
      <c r="A31" s="8" t="inlineStr">
        <is>
          <t>Álgebra II</t>
        </is>
      </c>
      <c r="B31" s="9" t="inlineStr">
        <is>
          <t>NO</t>
        </is>
      </c>
      <c r="C31" s="9" t="inlineStr">
        <is>
          <t>NO</t>
        </is>
      </c>
      <c r="D31" s="10" t="inlineStr">
        <is>
          <t>2° Año</t>
        </is>
      </c>
      <c r="E31" s="10">
        <f>IF(B31="SI", "REGULAR", "PENDIENTE")</f>
        <v/>
      </c>
      <c r="F31" s="10">
        <f>IF(C31="SI", "APROBADO", IF(B31="SI", "ADEUDA FINAL", "ADEUDA"))</f>
        <v/>
      </c>
      <c r="G31" s="11">
        <f>IF(C31="SI", "🟢 Aprobada", IF(B31="SI", "🟡 Regular", "🟣 Pendiente"))</f>
        <v/>
      </c>
    </row>
    <row r="32" ht="20" customHeight="1">
      <c r="A32" s="8" t="inlineStr">
        <is>
          <t>Química</t>
        </is>
      </c>
      <c r="B32" s="9" t="inlineStr">
        <is>
          <t>NO</t>
        </is>
      </c>
      <c r="C32" s="9" t="inlineStr">
        <is>
          <t>NO</t>
        </is>
      </c>
      <c r="D32" s="10" t="inlineStr">
        <is>
          <t>2° Año</t>
        </is>
      </c>
      <c r="E32" s="10">
        <f>IF(B32="SI", "REGULAR", "PENDIENTE")</f>
        <v/>
      </c>
      <c r="F32" s="10">
        <f>IF(C32="SI", "APROBADO", IF(B32="SI", "ADEUDA FINAL", "ADEUDA"))</f>
        <v/>
      </c>
      <c r="G32" s="11">
        <f>IF(C32="SI", "🟢 Aprobada", IF(B32="SI", "🟡 Regular", "🟣 Pendiente"))</f>
        <v/>
      </c>
    </row>
    <row r="33" ht="22" customHeight="1">
      <c r="A33" s="7" t="inlineStr">
        <is>
          <t>📌 3° AÑO</t>
        </is>
      </c>
    </row>
    <row r="34" ht="20" customHeight="1">
      <c r="A34" s="8" t="inlineStr">
        <is>
          <t>Física 3 A</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Física 3 B</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2" customHeight="1">
      <c r="A36" s="7" t="inlineStr">
        <is>
          <t>📌 4° AÑO</t>
        </is>
      </c>
    </row>
    <row r="37" ht="20" customHeight="1">
      <c r="A37" s="8" t="inlineStr">
        <is>
          <t>Física 4</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Física teórica 1 A</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Física experimental</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Didáctica de la física 2 para el nivel medio</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0" customHeight="1">
      <c r="A41" s="8" t="inlineStr">
        <is>
          <t>Residencia pedagógica para el nivel medio</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Epistemología e historia de la física</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Historia de la educación Argentina</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0" customHeight="1">
      <c r="A44" s="8" t="inlineStr">
        <is>
          <t>Sistema y política educativa</t>
        </is>
      </c>
      <c r="B44" s="9" t="inlineStr">
        <is>
          <t>NO</t>
        </is>
      </c>
      <c r="C44" s="9" t="inlineStr">
        <is>
          <t>NO</t>
        </is>
      </c>
      <c r="D44" s="10" t="inlineStr">
        <is>
          <t>4° Año</t>
        </is>
      </c>
      <c r="E44" s="10">
        <f>IF(B44="SI", "REGULAR", "PENDIENTE")</f>
        <v/>
      </c>
      <c r="F44" s="10">
        <f>IF(C44="SI", "APROBADO", IF(B44="SI", "ADEUDA FINAL", "ADEUDA"))</f>
        <v/>
      </c>
      <c r="G44" s="11">
        <f>IF(C44="SI", "🟢 Aprobada", IF(B44="SI", "🟡 Regular", "🟣 Pendiente"))</f>
        <v/>
      </c>
    </row>
    <row r="45" ht="20" customHeight="1">
      <c r="A45" s="8" t="inlineStr">
        <is>
          <t>Lengua extranjera</t>
        </is>
      </c>
      <c r="B45" s="9" t="inlineStr">
        <is>
          <t>NO</t>
        </is>
      </c>
      <c r="C45" s="9" t="inlineStr">
        <is>
          <t>NO</t>
        </is>
      </c>
      <c r="D45" s="10" t="inlineStr">
        <is>
          <t>4° Año</t>
        </is>
      </c>
      <c r="E45" s="10">
        <f>IF(B45="SI", "REGULAR", "PENDIENTE")</f>
        <v/>
      </c>
      <c r="F45" s="10">
        <f>IF(C45="SI", "APROBADO", IF(B45="SI", "ADEUDA FINAL", "ADEUDA"))</f>
        <v/>
      </c>
      <c r="G45" s="11">
        <f>IF(C45="SI", "🟢 Aprobada", IF(B45="SI", "🟡 Regular", "🟣 Pendiente"))</f>
        <v/>
      </c>
    </row>
    <row r="46" ht="22" customHeight="1">
      <c r="A46" s="7" t="inlineStr">
        <is>
          <t>📌 5° AÑO</t>
        </is>
      </c>
    </row>
    <row r="47" ht="20" customHeight="1">
      <c r="A47" s="8" t="inlineStr">
        <is>
          <t>Física teórica 2</t>
        </is>
      </c>
      <c r="B47" s="9" t="inlineStr">
        <is>
          <t>NO</t>
        </is>
      </c>
      <c r="C47" s="9" t="inlineStr">
        <is>
          <t>NO</t>
        </is>
      </c>
      <c r="D47" s="10" t="inlineStr">
        <is>
          <t>5° Año</t>
        </is>
      </c>
      <c r="E47" s="10">
        <f>IF(B47="SI", "REGULAR", "PENDIENTE")</f>
        <v/>
      </c>
      <c r="F47" s="10">
        <f>IF(C47="SI", "APROBADO", IF(B47="SI", "ADEUDA FINAL", "ADEUDA"))</f>
        <v/>
      </c>
      <c r="G47" s="11">
        <f>IF(C47="SI", "🟢 Aprobada", IF(B47="SI", "🟡 Regular", "🟣 Pendiente"))</f>
        <v/>
      </c>
    </row>
    <row r="48" ht="20" customHeight="1">
      <c r="A48" s="8" t="inlineStr">
        <is>
          <t>Física teórica 1 B</t>
        </is>
      </c>
      <c r="B48" s="9" t="inlineStr">
        <is>
          <t>NO</t>
        </is>
      </c>
      <c r="C48" s="9" t="inlineStr">
        <is>
          <t>NO</t>
        </is>
      </c>
      <c r="D48" s="10" t="inlineStr">
        <is>
          <t>5° Año</t>
        </is>
      </c>
      <c r="E48" s="10">
        <f>IF(B48="SI", "REGULAR", "PENDIENTE")</f>
        <v/>
      </c>
      <c r="F48" s="10">
        <f>IF(C48="SI", "APROBADO", IF(B48="SI", "ADEUDA FINAL", "ADEUDA"))</f>
        <v/>
      </c>
      <c r="G48" s="11">
        <f>IF(C48="SI", "🟢 Aprobada", IF(B48="SI", "🟡 Regular", "🟣 Pendiente"))</f>
        <v/>
      </c>
    </row>
    <row r="49" ht="20" customHeight="1">
      <c r="A49" s="8" t="inlineStr">
        <is>
          <t>Mecánica cuántica</t>
        </is>
      </c>
      <c r="B49" s="9" t="inlineStr">
        <is>
          <t>NO</t>
        </is>
      </c>
      <c r="C49" s="9" t="inlineStr">
        <is>
          <t>NO</t>
        </is>
      </c>
      <c r="D49" s="10" t="inlineStr">
        <is>
          <t>5° Año</t>
        </is>
      </c>
      <c r="E49" s="10">
        <f>IF(B49="SI", "REGULAR", "PENDIENTE")</f>
        <v/>
      </c>
      <c r="F49" s="10">
        <f>IF(C49="SI", "APROBADO", IF(B49="SI", "ADEUDA FINAL", "ADEUDA"))</f>
        <v/>
      </c>
      <c r="G49" s="11">
        <f>IF(C49="SI", "🟢 Aprobada", IF(B49="SI", "🟡 Regular", "🟣 Pendiente"))</f>
        <v/>
      </c>
    </row>
    <row r="50" ht="20" customHeight="1">
      <c r="A50" s="8" t="inlineStr">
        <is>
          <t>Astronomía</t>
        </is>
      </c>
      <c r="B50" s="9" t="inlineStr">
        <is>
          <t>NO</t>
        </is>
      </c>
      <c r="C50" s="9" t="inlineStr">
        <is>
          <t>NO</t>
        </is>
      </c>
      <c r="D50" s="10" t="inlineStr">
        <is>
          <t>5° Año</t>
        </is>
      </c>
      <c r="E50" s="10">
        <f>IF(B50="SI", "REGULAR", "PENDIENTE")</f>
        <v/>
      </c>
      <c r="F50" s="10">
        <f>IF(C50="SI", "APROBADO", IF(B50="SI", "ADEUDA FINAL", "ADEUDA"))</f>
        <v/>
      </c>
      <c r="G50" s="11">
        <f>IF(C50="SI", "🟢 Aprobada", IF(B50="SI", "🟡 Regular", "🟣 Pendiente"))</f>
        <v/>
      </c>
    </row>
    <row r="51" ht="20" customHeight="1">
      <c r="A51" s="8" t="inlineStr">
        <is>
          <t>Didáctica de la física 2 para el nivel superior</t>
        </is>
      </c>
      <c r="B51" s="9" t="inlineStr">
        <is>
          <t>NO</t>
        </is>
      </c>
      <c r="C51" s="9" t="inlineStr">
        <is>
          <t>NO</t>
        </is>
      </c>
      <c r="D51" s="10" t="inlineStr">
        <is>
          <t>5° Año</t>
        </is>
      </c>
      <c r="E51" s="10">
        <f>IF(B51="SI", "REGULAR", "PENDIENTE")</f>
        <v/>
      </c>
      <c r="F51" s="10">
        <f>IF(C51="SI", "APROBADO", IF(B51="SI", "ADEUDA FINAL", "ADEUDA"))</f>
        <v/>
      </c>
      <c r="G51" s="11">
        <f>IF(C51="SI", "🟢 Aprobada", IF(B51="SI", "🟡 Regular", "🟣 Pendiente"))</f>
        <v/>
      </c>
    </row>
    <row r="52" ht="20" customHeight="1">
      <c r="A52" s="8" t="inlineStr">
        <is>
          <t>Residencia pedagógica para el nivel superior</t>
        </is>
      </c>
      <c r="B52" s="9" t="inlineStr">
        <is>
          <t>NO</t>
        </is>
      </c>
      <c r="C52" s="9" t="inlineStr">
        <is>
          <t>NO</t>
        </is>
      </c>
      <c r="D52" s="10" t="inlineStr">
        <is>
          <t>5° Año</t>
        </is>
      </c>
      <c r="E52" s="10">
        <f>IF(B52="SI", "REGULAR", "PENDIENTE")</f>
        <v/>
      </c>
      <c r="F52" s="10">
        <f>IF(C52="SI", "APROBADO", IF(B52="SI", "ADEUDA FINAL", "ADEUDA"))</f>
        <v/>
      </c>
      <c r="G52" s="11">
        <f>IF(C52="SI", "🟢 Aprobada", IF(B52="SI", "🟡 Regular", "🟣 Pendiente"))</f>
        <v/>
      </c>
    </row>
  </sheetData>
  <mergeCells count="16">
    <mergeCell ref="A36:G36"/>
    <mergeCell ref="I14:J14"/>
    <mergeCell ref="I12:J12"/>
    <mergeCell ref="A1:G1"/>
    <mergeCell ref="I15:J15"/>
    <mergeCell ref="I10:J10"/>
    <mergeCell ref="I1:K1"/>
    <mergeCell ref="I11:J11"/>
    <mergeCell ref="A2:G2"/>
    <mergeCell ref="I13:J13"/>
    <mergeCell ref="A28:G28"/>
    <mergeCell ref="A33:G33"/>
    <mergeCell ref="I9:J9"/>
    <mergeCell ref="A10:G10"/>
    <mergeCell ref="A5:G5"/>
    <mergeCell ref="A46:G46"/>
  </mergeCells>
  <dataValidations count="1">
    <dataValidation sqref="B6 B7 B8 B9 B11 B12 B13 B14 B15 B16 B17 B18 B19 B20 B21 B22 B23 B24 B25 B26 B27 B29 B30 B31 B32 B34 B35 B37 B38 B39 B40 B41 B42 B43 B44 B45 B47 B48 B49 B50 B51 B52 C6 C7 C8 C9 C11 C12 C13 C14 C15 C16 C17 C18 C19 C20 C21 C22 C23 C24 C25 C26 C27 C29 C30 C31 C32 C34 C35 C37 C38 C39 C40 C41 C42 C43 C44 C45 C47 C48 C49 C50 C51 C52"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2026-08-31T01:47:25Z</dcterms:created>
  <dcterms:modified xmlns:dcterms="http://purl.org/dc/terms/" xmlns:xsi="http://www.w3.org/2001/XMLSchema-instance" xsi:type="dcterms:W3CDTF">2026-08-31T01:47:25Z</dcterms:modified>
</cp:coreProperties>
</file>